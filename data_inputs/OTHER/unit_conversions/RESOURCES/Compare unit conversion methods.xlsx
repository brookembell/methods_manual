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4"/>
  <workbookPr defaultThemeVersion="166925"/>
  <mc:AlternateContent xmlns:mc="http://schemas.openxmlformats.org/markup-compatibility/2006">
    <mc:Choice Requires="x15">
      <x15ac:absPath xmlns:x15ac="http://schemas.microsoft.com/office/spreadsheetml/2010/11/ac" url="/Users/bmb73/Library/CloudStorage/Box-Box/lasting_aim_3/model development/data_new/in/Unit conversion/"/>
    </mc:Choice>
  </mc:AlternateContent>
  <xr:revisionPtr revIDLastSave="0" documentId="13_ncr:1_{28B707A8-CAD4-C34F-9765-19F9D9BA4E06}" xr6:coauthVersionLast="47" xr6:coauthVersionMax="47" xr10:uidLastSave="{00000000-0000-0000-0000-000000000000}"/>
  <bookViews>
    <workbookView xWindow="0" yWindow="500" windowWidth="35840" windowHeight="19580" xr2:uid="{3F9C6BA1-E0DF-3040-BFD4-D36078C3FAC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7" i="1" l="1"/>
  <c r="J6" i="1"/>
</calcChain>
</file>

<file path=xl/sharedStrings.xml><?xml version="1.0" encoding="utf-8"?>
<sst xmlns="http://schemas.openxmlformats.org/spreadsheetml/2006/main" count="226" uniqueCount="168">
  <si>
    <t>added_sugar</t>
  </si>
  <si>
    <t>Added sugars</t>
  </si>
  <si>
    <t>dairy</t>
  </si>
  <si>
    <t>Dairy</t>
  </si>
  <si>
    <t>fruit</t>
  </si>
  <si>
    <t>Fruits</t>
  </si>
  <si>
    <t>gr_refined</t>
  </si>
  <si>
    <t>Refined Grains</t>
  </si>
  <si>
    <t>gr_whole</t>
  </si>
  <si>
    <t>Whole Grains</t>
  </si>
  <si>
    <t>oil</t>
  </si>
  <si>
    <t>Oils</t>
  </si>
  <si>
    <t>pf_egg</t>
  </si>
  <si>
    <t>Eggs</t>
  </si>
  <si>
    <t>pf_leg</t>
  </si>
  <si>
    <t>Beans, Peas, Lentils (protein)</t>
  </si>
  <si>
    <t>pf_ns</t>
  </si>
  <si>
    <t>Nuts and seeds</t>
  </si>
  <si>
    <t>pf_pm</t>
  </si>
  <si>
    <t>Processed meat</t>
  </si>
  <si>
    <t>pf_poultry</t>
  </si>
  <si>
    <t>Poultry</t>
  </si>
  <si>
    <t>pf_redm</t>
  </si>
  <si>
    <t>Red meat</t>
  </si>
  <si>
    <t>pf_seafood</t>
  </si>
  <si>
    <t>Seafood</t>
  </si>
  <si>
    <t>pf_soy</t>
  </si>
  <si>
    <t>Soy foods</t>
  </si>
  <si>
    <t>sat_fat</t>
  </si>
  <si>
    <t>Saturated fats</t>
  </si>
  <si>
    <t>veg_dg</t>
  </si>
  <si>
    <t>Dark-Green Vegetables</t>
  </si>
  <si>
    <t>veg_leg</t>
  </si>
  <si>
    <t>Beans, Peas, Lentils (vegetables)</t>
  </si>
  <si>
    <t>veg_oth</t>
  </si>
  <si>
    <t>Other Vegetables</t>
  </si>
  <si>
    <t>veg_ro</t>
  </si>
  <si>
    <t>Red and Orange Vegetables</t>
  </si>
  <si>
    <t>veg_sta</t>
  </si>
  <si>
    <t>Starchy Vegetables</t>
  </si>
  <si>
    <t>veg_exc_sta</t>
  </si>
  <si>
    <t>Vegetables excluding starchy</t>
  </si>
  <si>
    <t>fruit_exc_juice</t>
  </si>
  <si>
    <t>Fruit excluding juice</t>
  </si>
  <si>
    <t>ssb</t>
  </si>
  <si>
    <t>Sugar sweetened beverages</t>
  </si>
  <si>
    <t>sea_omega3_fa</t>
  </si>
  <si>
    <t>Seafood omega-3 fats</t>
  </si>
  <si>
    <t>sodium</t>
  </si>
  <si>
    <t>Sodium</t>
  </si>
  <si>
    <t>fiber</t>
  </si>
  <si>
    <t>Fiber</t>
  </si>
  <si>
    <t>pf_animal</t>
  </si>
  <si>
    <t>Animal-protein foods</t>
  </si>
  <si>
    <t>pf_plant</t>
  </si>
  <si>
    <t>Plant-protein foods</t>
  </si>
  <si>
    <t>pufa_rep_carb</t>
  </si>
  <si>
    <t>PUFA replace carbs</t>
  </si>
  <si>
    <t>pufa_rep_sfa</t>
  </si>
  <si>
    <t>PUFA replace sfa</t>
  </si>
  <si>
    <t>pufa_rep_carbsfa</t>
  </si>
  <si>
    <t>babyfood</t>
  </si>
  <si>
    <t>Baby food</t>
  </si>
  <si>
    <t>coffee_tea</t>
  </si>
  <si>
    <t>Coffee and tea</t>
  </si>
  <si>
    <t>other</t>
  </si>
  <si>
    <t>Other</t>
  </si>
  <si>
    <t>water</t>
  </si>
  <si>
    <t>Water</t>
  </si>
  <si>
    <t>PUFA replace carbs or sfa</t>
  </si>
  <si>
    <t>Equation</t>
  </si>
  <si>
    <t>1 cup eq = 149.37 g</t>
  </si>
  <si>
    <t>1 cup eq = 130 g</t>
  </si>
  <si>
    <t>1 cup eq = 176.91 g</t>
  </si>
  <si>
    <t>1 cup eq = 124.14 g</t>
  </si>
  <si>
    <t>1 cup eq = 125 g</t>
  </si>
  <si>
    <t>1 cup eq = 155 g</t>
  </si>
  <si>
    <t>1 oz eq = 28.35 g</t>
  </si>
  <si>
    <t>1 oz eq = 30.21 g</t>
  </si>
  <si>
    <t>1 oz eq = 50 g</t>
  </si>
  <si>
    <t>1 g = 1 g</t>
  </si>
  <si>
    <t>1 tsp = 4.2 g</t>
  </si>
  <si>
    <t>1 cup eq = 225 g</t>
  </si>
  <si>
    <t>1 oz eq</t>
  </si>
  <si>
    <t>Footnotes</t>
  </si>
  <si>
    <t>https://nurseshealthstudy.org/sites/default/files/questionnaires/2010long.pdf</t>
  </si>
  <si>
    <t xml:space="preserve">*NHS Survey: </t>
  </si>
  <si>
    <t>1 cup eq</t>
  </si>
  <si>
    <t>1 tsp eq</t>
  </si>
  <si>
    <t>1 fl oz = 30 g</t>
  </si>
  <si>
    <t>1 cup eq = 130.27 g</t>
  </si>
  <si>
    <t>1 oz = 28.35 g</t>
  </si>
  <si>
    <t>DGA unit</t>
  </si>
  <si>
    <t>1 mg</t>
  </si>
  <si>
    <t>1 g</t>
  </si>
  <si>
    <t>Food group</t>
  </si>
  <si>
    <t>Var label</t>
  </si>
  <si>
    <t>Current conversion</t>
  </si>
  <si>
    <t>4.2 g</t>
  </si>
  <si>
    <t>225 g</t>
  </si>
  <si>
    <t>149.37 g</t>
  </si>
  <si>
    <t>28.35 g</t>
  </si>
  <si>
    <t>50 g</t>
  </si>
  <si>
    <t>176.91 g</t>
  </si>
  <si>
    <t>30.21 g</t>
  </si>
  <si>
    <t>130 g</t>
  </si>
  <si>
    <t>124.14 g</t>
  </si>
  <si>
    <t>125 g</t>
  </si>
  <si>
    <t>155 g</t>
  </si>
  <si>
    <t>130.27 g</t>
  </si>
  <si>
    <t>30 g</t>
  </si>
  <si>
    <t>1 fl oz</t>
  </si>
  <si>
    <t>1 mg = 1 mg</t>
  </si>
  <si>
    <t>Blackstone 2020</t>
  </si>
  <si>
    <t>182 g</t>
  </si>
  <si>
    <t>118 g</t>
  </si>
  <si>
    <t>144 g</t>
  </si>
  <si>
    <t>175 g</t>
  </si>
  <si>
    <t>134 g</t>
  </si>
  <si>
    <t>140 g</t>
  </si>
  <si>
    <t>51 g</t>
  </si>
  <si>
    <t>36 g</t>
  </si>
  <si>
    <t>31 g</t>
  </si>
  <si>
    <t>29 g</t>
  </si>
  <si>
    <t>15 g</t>
  </si>
  <si>
    <t>24 g</t>
  </si>
  <si>
    <t>44 g</t>
  </si>
  <si>
    <t>149 g</t>
  </si>
  <si>
    <t>red meat used as proxy</t>
  </si>
  <si>
    <t>Current conversion FOODS</t>
  </si>
  <si>
    <t>Potatoes, boiled or canned or drained (FPED)</t>
  </si>
  <si>
    <t>Milk, water (FPED)</t>
  </si>
  <si>
    <t>fruit used as proxy</t>
  </si>
  <si>
    <t>Chicken, turkey, Cornish hens, duck, goose, quail, and pheasant (game birds); excludes organ meat and cured meat</t>
  </si>
  <si>
    <t>43.75 g</t>
  </si>
  <si>
    <t>Soy flour and soy nuts</t>
  </si>
  <si>
    <t>Memo references Rehm, but unable to figure out how this was calculated</t>
  </si>
  <si>
    <t>Weighted average of all vegetable subgroups</t>
  </si>
  <si>
    <t>See FPED Table 10</t>
  </si>
  <si>
    <t>See FPED Table 11</t>
  </si>
  <si>
    <t>Barley, buckwheat, bulgur, couscous, hot cereals, millets, pasta, popcorn, quinoa, ready-to-eat cereals, rice</t>
  </si>
  <si>
    <t>Granulated sugar</t>
  </si>
  <si>
    <t>See FPED Chapter 8</t>
  </si>
  <si>
    <t>Eggs, raw or cooked</t>
  </si>
  <si>
    <t>See FPED Appendix 1</t>
  </si>
  <si>
    <t>Peanuts, tree nuts, and seeds; excludes coconut (I think)</t>
  </si>
  <si>
    <t>See FPED Table 9, Appendix 8</t>
  </si>
  <si>
    <t>See FPED Table 12, Appendix 10</t>
  </si>
  <si>
    <t>See FPED Appendix 11</t>
  </si>
  <si>
    <t>Beef, veal, pork, lamb, and game meat; excludes organ meat and cured meat (I think)</t>
  </si>
  <si>
    <t>Blackstone FOODS</t>
  </si>
  <si>
    <t>Cottage cheese, Mexican cheese, mozzarella, processed cheese, ice cream, milk, soymilk, frozen yogurt, yogurt</t>
  </si>
  <si>
    <t>Black beans, chickpeas, split peas, lentils, lima beans, pinto beans, kidney beans, white beans</t>
  </si>
  <si>
    <t>Egg</t>
  </si>
  <si>
    <t>Apple juice, apples, applesauce, apricots, bananas, blackberries, blueberries, cantaloupe melons, cherries, cranberries, cranberry juice, cranberry sauce, dates, grape juice, grapefruit juice, grapefruit, grapes, honeydew melon, kiwifruit, lemon juice, lime juice, mango juice, mango, nectarine, orange juice, unknown fruit juice, oranges, papaya juice, papaya, peaches, pears, japanese pears, persimmons, pineapple juice, pineapple, plums, pomegranate juice, prune juice, plums, raisins, raspberries, unknown citrus fruit, strawberries, tangerine, watermelon</t>
  </si>
  <si>
    <t>Broccoli, bok choy, cilantro, collard greens, mixed dark leafy greens (includes Romaine, Chicory, Escarole, and Endive), kale (includes lambsquarters, mustard cabbage, raw &amp; ckd beet greens, bitter melon leaves, horseradish leaves, jute leaves, rad), arugula, mustard greens (includes dandelion and poke greens), spinach, turnip greens</t>
  </si>
  <si>
    <t>Beef liver, ground beef, beef steak, luncheon meats (beef), luncheon meats (pork), pork, ham, lamb, sausage, game meat</t>
  </si>
  <si>
    <t>Almonds, cashew nuts, chestnuts, filberts/hazelnuts, flax seeds, mixed nuts, peanut butter, peanuts, pecans, pine nuts, pistachio nuts, pumpkin/squash seed kernels, sesame seeds, sunflower seeds, walnuts</t>
  </si>
  <si>
    <t>Canola oil, corn oil, cottonseed oil, olive oil, peanut oil, unhydrogenated soy oil, sunflower oil, margarine</t>
  </si>
  <si>
    <t>Artichoke, asparagus, avocado, bamboo shoots, mungbeans, green beans, beets, brussel sprouts, green cabbage, red cabbage, cactus, cauliflower, celery, cucumber pickles, cucumber, eggplant, garlic, horseradish, lettuce, mushrooms, okra, olives, unknown other vegetable, onions, spring onions/scallions, green peppers, chili peppers, radishes, edible-pod green peas (includes snowpeas, fern shoots), summer squash, tomatillos, turnips</t>
  </si>
  <si>
    <t>Luncheon meats (poultry), chicken, turkey</t>
  </si>
  <si>
    <t>Carrots, chili peppers, red peppers, pumpkin, winter squash, sweet potatoes/orange yams, tomato juice, tomatoes</t>
  </si>
  <si>
    <t>Bagels and English Muffins, biscuits, french bread, pizza crust, breadings and stuffings/dressings, white bread, refined grained RTE cereal, flour-based desserts (cakes, cookies, etc.), snack bars containing refined grains, refined grain as thickener, cooked cereal, quick breads, pie and pastry crusts, pretzels and crackers, white rice, other foods containing refined grains, white rolls and buns, pasta and nodles, corn tortilla, flour tortilla</t>
  </si>
  <si>
    <t>Anchovy, catfish, clams, cod, crab, crayfish, croaker, unknown fish, flounder, halibut, fish stickets, haddock, restructured fish, herring, lobster, mackerel, mussels, perch, octopus/squid, oysters, pike, pompano, porgy, snapper, salmon, sardines, scallops, sea bas, shrimp, swardfish, filapia, trout, tuna, whiting</t>
  </si>
  <si>
    <t>Processed soy, tofu</t>
  </si>
  <si>
    <t>Lima beans (immature), cassava (tapioca, white corn, yellow corn, cooked cowpeas, field peas, blackeye peas (NOT dried), green peas, plantains, waterchestnuts, potatoes, vegetable starches, potato chips/puffs/sticks, french fries, home fries/hash browns</t>
  </si>
  <si>
    <t>Whole wheat bread, whole oat RTE cereals, whole grain corn RTE cereals, snack bars containing whole grains, whole wheat crackers, whoe grain bagels and english muffins, oatmeal and other cooked cereals, whole grains in other foods including desserts, whole wheat quick bread, popcorn, brown rice, whole grain rolls (not sweet), whole wheat RTE cereals, whole grain pasta</t>
  </si>
  <si>
    <t xml:space="preserve">Flour-based: 1 oz eq = 16 g
Grain-based: 1 oz eq = 28.35 g (look at FPED for descriptions)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</si>
</sst>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u/>
      <sz val="12"/>
      <color theme="1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2">
    <xf numFmtId="0" fontId="0" fillId="0" borderId="0"/>
    <xf numFmtId="0" fontId="2" fillId="0" borderId="0" applyNumberFormat="0" applyFill="0" applyBorder="0" applyAlignment="0" applyProtection="0"/>
  </cellStyleXfs>
  <cellXfs count="22">
    <xf numFmtId="0" fontId="0" fillId="0" borderId="0" xfId="0"/>
    <xf numFmtId="0" fontId="1" fillId="0" borderId="0" xfId="0" applyFont="1" applyAlignment="1">
      <alignment vertical="top"/>
    </xf>
    <xf numFmtId="0" fontId="1" fillId="0" borderId="1" xfId="0" applyFont="1" applyBorder="1" applyAlignment="1">
      <alignment vertical="top"/>
    </xf>
    <xf numFmtId="0" fontId="1" fillId="0" borderId="1" xfId="0" applyFont="1" applyBorder="1"/>
    <xf numFmtId="0" fontId="0" fillId="0" borderId="1" xfId="0" applyBorder="1" applyAlignment="1">
      <alignment vertical="top"/>
    </xf>
    <xf numFmtId="0" fontId="0" fillId="0" borderId="1" xfId="0" applyBorder="1"/>
    <xf numFmtId="0" fontId="0" fillId="0" borderId="1" xfId="0" applyBorder="1" applyAlignment="1">
      <alignment vertical="top" wrapText="1"/>
    </xf>
    <xf numFmtId="0" fontId="2" fillId="0" borderId="0" xfId="1" applyFill="1" applyBorder="1"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2" xfId="0" applyBorder="1" applyAlignment="1">
      <alignment vertical="top"/>
    </xf>
    <xf numFmtId="0" fontId="0" fillId="0" borderId="2" xfId="0" applyBorder="1"/>
    <xf numFmtId="0" fontId="1" fillId="0" borderId="1" xfId="0" applyFont="1" applyBorder="1" applyAlignment="1">
      <alignment horizontal="left" vertical="top" wrapText="1"/>
    </xf>
    <xf numFmtId="0" fontId="0" fillId="0" borderId="1" xfId="0" applyBorder="1" applyAlignment="1">
      <alignment horizontal="left" vertical="top" wrapText="1"/>
    </xf>
    <xf numFmtId="0" fontId="0" fillId="2" borderId="1" xfId="0" applyFill="1" applyBorder="1"/>
    <xf numFmtId="0" fontId="0" fillId="2" borderId="1" xfId="0" applyFill="1" applyBorder="1" applyAlignment="1">
      <alignment horizontal="left" vertical="top" wrapText="1"/>
    </xf>
    <xf numFmtId="0" fontId="1" fillId="0" borderId="1" xfId="0" applyFont="1" applyBorder="1" applyAlignment="1">
      <alignment vertical="top" wrapText="1"/>
    </xf>
    <xf numFmtId="0" fontId="0" fillId="0" borderId="1" xfId="0" applyBorder="1" applyAlignment="1">
      <alignment wrapText="1"/>
    </xf>
    <xf numFmtId="0" fontId="0" fillId="3" borderId="1" xfId="0" applyFill="1" applyBorder="1"/>
    <xf numFmtId="0" fontId="0" fillId="3" borderId="0" xfId="0" applyFill="1"/>
    <xf numFmtId="0" fontId="0" fillId="3" borderId="3" xfId="0" applyFill="1" applyBorder="1"/>
    <xf numFmtId="0" fontId="0" fillId="0" borderId="1" xfId="0" applyFill="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nurseshealthstudy.org/sites/default/files/questionnaires/2010long.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531C2-0B91-EF48-B6D1-1D0E774847D4}">
  <dimension ref="A1:J38"/>
  <sheetViews>
    <sheetView tabSelected="1" topLeftCell="A20" zoomScale="140" zoomScaleNormal="131" workbookViewId="0">
      <selection activeCell="D8" sqref="D8"/>
    </sheetView>
  </sheetViews>
  <sheetFormatPr baseColWidth="10" defaultRowHeight="16" x14ac:dyDescent="0.2"/>
  <cols>
    <col min="1" max="1" width="15.5" bestFit="1" customWidth="1"/>
    <col min="2" max="2" width="28.5" hidden="1" customWidth="1"/>
    <col min="3" max="3" width="12.5" customWidth="1"/>
    <col min="4" max="4" width="17.1640625" customWidth="1"/>
    <col min="5" max="5" width="19.1640625" customWidth="1"/>
    <col min="6" max="6" width="36.83203125" style="8" customWidth="1"/>
    <col min="7" max="7" width="15" bestFit="1" customWidth="1"/>
    <col min="8" max="8" width="42.1640625" style="9" customWidth="1"/>
    <col min="9" max="9" width="27.83203125" bestFit="1" customWidth="1"/>
  </cols>
  <sheetData>
    <row r="1" spans="1:10" ht="17" x14ac:dyDescent="0.2">
      <c r="A1" s="2" t="s">
        <v>95</v>
      </c>
      <c r="B1" s="2" t="s">
        <v>96</v>
      </c>
      <c r="C1" s="3" t="s">
        <v>92</v>
      </c>
      <c r="D1" s="3" t="s">
        <v>70</v>
      </c>
      <c r="E1" s="3" t="s">
        <v>97</v>
      </c>
      <c r="F1" s="16" t="s">
        <v>129</v>
      </c>
      <c r="G1" s="3" t="s">
        <v>113</v>
      </c>
      <c r="H1" s="12" t="s">
        <v>150</v>
      </c>
      <c r="I1" s="5"/>
    </row>
    <row r="2" spans="1:10" ht="17" x14ac:dyDescent="0.2">
      <c r="A2" s="4" t="s">
        <v>0</v>
      </c>
      <c r="B2" s="4" t="s">
        <v>1</v>
      </c>
      <c r="C2" s="5" t="s">
        <v>88</v>
      </c>
      <c r="D2" s="5" t="s">
        <v>81</v>
      </c>
      <c r="E2" s="18" t="s">
        <v>98</v>
      </c>
      <c r="F2" s="6" t="s">
        <v>141</v>
      </c>
      <c r="G2" s="5"/>
      <c r="H2" s="13"/>
      <c r="I2" s="5" t="s">
        <v>142</v>
      </c>
    </row>
    <row r="3" spans="1:10" ht="51" x14ac:dyDescent="0.2">
      <c r="A3" s="4" t="s">
        <v>2</v>
      </c>
      <c r="B3" s="4" t="s">
        <v>3</v>
      </c>
      <c r="C3" s="5" t="s">
        <v>87</v>
      </c>
      <c r="D3" s="5" t="s">
        <v>82</v>
      </c>
      <c r="E3" s="5" t="s">
        <v>99</v>
      </c>
      <c r="F3" s="6" t="s">
        <v>131</v>
      </c>
      <c r="G3" s="18" t="s">
        <v>127</v>
      </c>
      <c r="H3" s="13" t="s">
        <v>151</v>
      </c>
      <c r="I3" s="5" t="s">
        <v>147</v>
      </c>
    </row>
    <row r="4" spans="1:10" ht="204" x14ac:dyDescent="0.2">
      <c r="A4" s="4" t="s">
        <v>4</v>
      </c>
      <c r="B4" s="4" t="s">
        <v>5</v>
      </c>
      <c r="C4" s="5" t="s">
        <v>87</v>
      </c>
      <c r="D4" s="5" t="s">
        <v>71</v>
      </c>
      <c r="E4" s="5" t="s">
        <v>100</v>
      </c>
      <c r="F4" s="6" t="s">
        <v>136</v>
      </c>
      <c r="G4" s="18" t="s">
        <v>114</v>
      </c>
      <c r="H4" s="13" t="s">
        <v>154</v>
      </c>
      <c r="I4" s="5" t="s">
        <v>146</v>
      </c>
    </row>
    <row r="5" spans="1:10" x14ac:dyDescent="0.2">
      <c r="A5" s="4" t="s">
        <v>42</v>
      </c>
      <c r="B5" s="4" t="s">
        <v>43</v>
      </c>
      <c r="C5" s="5" t="s">
        <v>87</v>
      </c>
      <c r="D5" s="5" t="s">
        <v>71</v>
      </c>
      <c r="E5" s="5" t="s">
        <v>100</v>
      </c>
      <c r="F5" s="6"/>
      <c r="G5" s="14"/>
      <c r="H5" s="15"/>
      <c r="I5" s="5" t="s">
        <v>132</v>
      </c>
    </row>
    <row r="6" spans="1:10" ht="170" x14ac:dyDescent="0.2">
      <c r="A6" s="21" t="s">
        <v>6</v>
      </c>
      <c r="B6" s="4" t="s">
        <v>7</v>
      </c>
      <c r="C6" s="5" t="s">
        <v>83</v>
      </c>
      <c r="D6" s="17" t="s">
        <v>167</v>
      </c>
      <c r="E6" s="5" t="s">
        <v>101</v>
      </c>
      <c r="F6" s="6" t="s">
        <v>140</v>
      </c>
      <c r="G6" s="5" t="s">
        <v>121</v>
      </c>
      <c r="H6" s="13" t="s">
        <v>162</v>
      </c>
      <c r="I6" s="5" t="s">
        <v>139</v>
      </c>
      <c r="J6" s="19">
        <f>36/2.13</f>
        <v>16.901408450704228</v>
      </c>
    </row>
    <row r="7" spans="1:10" ht="153" x14ac:dyDescent="0.2">
      <c r="A7" s="21" t="s">
        <v>8</v>
      </c>
      <c r="B7" s="4" t="s">
        <v>9</v>
      </c>
      <c r="C7" s="5" t="s">
        <v>83</v>
      </c>
      <c r="D7" s="17" t="s">
        <v>167</v>
      </c>
      <c r="E7" s="5" t="s">
        <v>101</v>
      </c>
      <c r="F7" s="6" t="s">
        <v>140</v>
      </c>
      <c r="G7" s="5" t="s">
        <v>120</v>
      </c>
      <c r="H7" s="13" t="s">
        <v>166</v>
      </c>
      <c r="I7" s="5" t="s">
        <v>139</v>
      </c>
      <c r="J7" s="20">
        <f>51/2.13</f>
        <v>23.943661971830988</v>
      </c>
    </row>
    <row r="8" spans="1:10" ht="51" x14ac:dyDescent="0.2">
      <c r="A8" s="4" t="s">
        <v>10</v>
      </c>
      <c r="B8" s="4" t="s">
        <v>11</v>
      </c>
      <c r="C8" s="5" t="s">
        <v>94</v>
      </c>
      <c r="D8" s="5" t="s">
        <v>80</v>
      </c>
      <c r="E8" s="5" t="s">
        <v>94</v>
      </c>
      <c r="F8" s="6"/>
      <c r="G8" s="18" t="s">
        <v>94</v>
      </c>
      <c r="H8" s="13" t="s">
        <v>158</v>
      </c>
      <c r="I8" s="5"/>
    </row>
    <row r="9" spans="1:10" ht="17" x14ac:dyDescent="0.2">
      <c r="A9" s="4" t="s">
        <v>12</v>
      </c>
      <c r="B9" s="4" t="s">
        <v>13</v>
      </c>
      <c r="C9" s="5" t="s">
        <v>83</v>
      </c>
      <c r="D9" s="5" t="s">
        <v>79</v>
      </c>
      <c r="E9" s="5" t="s">
        <v>102</v>
      </c>
      <c r="F9" s="6" t="s">
        <v>143</v>
      </c>
      <c r="G9" s="18" t="s">
        <v>102</v>
      </c>
      <c r="H9" s="13" t="s">
        <v>153</v>
      </c>
      <c r="I9" s="5"/>
    </row>
    <row r="10" spans="1:10" ht="34" x14ac:dyDescent="0.2">
      <c r="A10" s="4" t="s">
        <v>14</v>
      </c>
      <c r="B10" s="4" t="s">
        <v>15</v>
      </c>
      <c r="C10" s="5" t="s">
        <v>83</v>
      </c>
      <c r="D10" s="5" t="s">
        <v>73</v>
      </c>
      <c r="E10" s="5" t="s">
        <v>134</v>
      </c>
      <c r="F10" s="6" t="s">
        <v>136</v>
      </c>
      <c r="G10" s="18" t="s">
        <v>126</v>
      </c>
      <c r="H10" s="13" t="s">
        <v>152</v>
      </c>
      <c r="I10" s="5" t="s">
        <v>148</v>
      </c>
    </row>
    <row r="11" spans="1:10" ht="85" x14ac:dyDescent="0.2">
      <c r="A11" s="21" t="s">
        <v>16</v>
      </c>
      <c r="B11" s="4" t="s">
        <v>17</v>
      </c>
      <c r="C11" s="5" t="s">
        <v>83</v>
      </c>
      <c r="D11" s="5" t="s">
        <v>91</v>
      </c>
      <c r="E11" s="5" t="s">
        <v>101</v>
      </c>
      <c r="F11" s="6" t="s">
        <v>145</v>
      </c>
      <c r="G11" s="18" t="s">
        <v>124</v>
      </c>
      <c r="H11" s="13" t="s">
        <v>157</v>
      </c>
      <c r="I11" s="5"/>
    </row>
    <row r="12" spans="1:10" x14ac:dyDescent="0.2">
      <c r="A12" s="4" t="s">
        <v>18</v>
      </c>
      <c r="B12" s="4" t="s">
        <v>19</v>
      </c>
      <c r="C12" s="5" t="s">
        <v>83</v>
      </c>
      <c r="D12" s="5" t="s">
        <v>78</v>
      </c>
      <c r="E12" s="5" t="s">
        <v>104</v>
      </c>
      <c r="F12" s="6"/>
      <c r="G12" s="18" t="s">
        <v>122</v>
      </c>
      <c r="H12" s="13"/>
      <c r="I12" s="5" t="s">
        <v>128</v>
      </c>
    </row>
    <row r="13" spans="1:10" ht="51" x14ac:dyDescent="0.2">
      <c r="A13" s="4" t="s">
        <v>20</v>
      </c>
      <c r="B13" s="4" t="s">
        <v>21</v>
      </c>
      <c r="C13" s="5" t="s">
        <v>83</v>
      </c>
      <c r="D13" s="5" t="s">
        <v>77</v>
      </c>
      <c r="E13" s="5" t="s">
        <v>101</v>
      </c>
      <c r="F13" s="6" t="s">
        <v>133</v>
      </c>
      <c r="G13" s="18" t="s">
        <v>123</v>
      </c>
      <c r="H13" s="13" t="s">
        <v>160</v>
      </c>
      <c r="I13" s="5"/>
    </row>
    <row r="14" spans="1:10" ht="51" x14ac:dyDescent="0.2">
      <c r="A14" s="4" t="s">
        <v>22</v>
      </c>
      <c r="B14" s="4" t="s">
        <v>23</v>
      </c>
      <c r="C14" s="5" t="s">
        <v>83</v>
      </c>
      <c r="D14" s="5" t="s">
        <v>78</v>
      </c>
      <c r="E14" s="5" t="s">
        <v>104</v>
      </c>
      <c r="F14" s="6" t="s">
        <v>149</v>
      </c>
      <c r="G14" s="18" t="s">
        <v>122</v>
      </c>
      <c r="H14" s="13" t="s">
        <v>156</v>
      </c>
      <c r="I14" s="5"/>
    </row>
    <row r="15" spans="1:10" ht="119" x14ac:dyDescent="0.2">
      <c r="A15" s="4" t="s">
        <v>24</v>
      </c>
      <c r="B15" s="4" t="s">
        <v>25</v>
      </c>
      <c r="C15" s="5" t="s">
        <v>83</v>
      </c>
      <c r="D15" s="5" t="s">
        <v>77</v>
      </c>
      <c r="E15" s="5" t="s">
        <v>101</v>
      </c>
      <c r="F15" s="6" t="s">
        <v>136</v>
      </c>
      <c r="G15" s="18" t="s">
        <v>123</v>
      </c>
      <c r="H15" s="13" t="s">
        <v>163</v>
      </c>
      <c r="I15" s="5" t="s">
        <v>144</v>
      </c>
    </row>
    <row r="16" spans="1:10" ht="17" x14ac:dyDescent="0.2">
      <c r="A16" s="4" t="s">
        <v>26</v>
      </c>
      <c r="B16" s="4" t="s">
        <v>27</v>
      </c>
      <c r="C16" s="5" t="s">
        <v>83</v>
      </c>
      <c r="D16" s="5" t="s">
        <v>77</v>
      </c>
      <c r="E16" s="5" t="s">
        <v>101</v>
      </c>
      <c r="F16" s="6" t="s">
        <v>135</v>
      </c>
      <c r="G16" s="18" t="s">
        <v>125</v>
      </c>
      <c r="H16" s="13" t="s">
        <v>164</v>
      </c>
      <c r="I16" s="5"/>
    </row>
    <row r="17" spans="1:9" x14ac:dyDescent="0.2">
      <c r="A17" s="4" t="s">
        <v>28</v>
      </c>
      <c r="B17" s="4" t="s">
        <v>29</v>
      </c>
      <c r="C17" s="5" t="s">
        <v>94</v>
      </c>
      <c r="D17" s="5" t="s">
        <v>80</v>
      </c>
      <c r="E17" s="5" t="s">
        <v>94</v>
      </c>
      <c r="F17" s="6"/>
      <c r="G17" s="18"/>
      <c r="H17" s="13"/>
      <c r="I17" s="5"/>
    </row>
    <row r="18" spans="1:9" ht="136" x14ac:dyDescent="0.2">
      <c r="A18" s="4" t="s">
        <v>30</v>
      </c>
      <c r="B18" s="4" t="s">
        <v>31</v>
      </c>
      <c r="C18" s="5" t="s">
        <v>87</v>
      </c>
      <c r="D18" s="5" t="s">
        <v>72</v>
      </c>
      <c r="E18" s="5" t="s">
        <v>105</v>
      </c>
      <c r="F18" s="6" t="s">
        <v>136</v>
      </c>
      <c r="G18" s="18" t="s">
        <v>115</v>
      </c>
      <c r="H18" s="13" t="s">
        <v>155</v>
      </c>
      <c r="I18" s="5" t="s">
        <v>138</v>
      </c>
    </row>
    <row r="19" spans="1:9" ht="34" x14ac:dyDescent="0.2">
      <c r="A19" s="4" t="s">
        <v>32</v>
      </c>
      <c r="B19" s="4" t="s">
        <v>33</v>
      </c>
      <c r="C19" s="5" t="s">
        <v>87</v>
      </c>
      <c r="D19" s="5" t="s">
        <v>73</v>
      </c>
      <c r="E19" s="5" t="s">
        <v>103</v>
      </c>
      <c r="F19" s="6" t="s">
        <v>136</v>
      </c>
      <c r="G19" s="18" t="s">
        <v>117</v>
      </c>
      <c r="H19" s="13" t="s">
        <v>152</v>
      </c>
      <c r="I19" s="5" t="s">
        <v>148</v>
      </c>
    </row>
    <row r="20" spans="1:9" ht="170" x14ac:dyDescent="0.2">
      <c r="A20" s="4" t="s">
        <v>34</v>
      </c>
      <c r="B20" s="4" t="s">
        <v>35</v>
      </c>
      <c r="C20" s="5" t="s">
        <v>87</v>
      </c>
      <c r="D20" s="5" t="s">
        <v>74</v>
      </c>
      <c r="E20" s="5" t="s">
        <v>106</v>
      </c>
      <c r="F20" s="6" t="s">
        <v>136</v>
      </c>
      <c r="G20" s="18" t="s">
        <v>119</v>
      </c>
      <c r="H20" s="13" t="s">
        <v>159</v>
      </c>
      <c r="I20" s="5" t="s">
        <v>138</v>
      </c>
    </row>
    <row r="21" spans="1:9" ht="51" x14ac:dyDescent="0.2">
      <c r="A21" s="4" t="s">
        <v>36</v>
      </c>
      <c r="B21" s="4" t="s">
        <v>37</v>
      </c>
      <c r="C21" s="5" t="s">
        <v>87</v>
      </c>
      <c r="D21" s="5" t="s">
        <v>75</v>
      </c>
      <c r="E21" s="5" t="s">
        <v>107</v>
      </c>
      <c r="F21" s="6" t="s">
        <v>136</v>
      </c>
      <c r="G21" s="18" t="s">
        <v>116</v>
      </c>
      <c r="H21" s="13" t="s">
        <v>161</v>
      </c>
      <c r="I21" s="5" t="s">
        <v>138</v>
      </c>
    </row>
    <row r="22" spans="1:9" ht="102" x14ac:dyDescent="0.2">
      <c r="A22" s="4" t="s">
        <v>38</v>
      </c>
      <c r="B22" s="4" t="s">
        <v>39</v>
      </c>
      <c r="C22" s="5" t="s">
        <v>87</v>
      </c>
      <c r="D22" s="5" t="s">
        <v>76</v>
      </c>
      <c r="E22" s="5" t="s">
        <v>108</v>
      </c>
      <c r="F22" s="6" t="s">
        <v>130</v>
      </c>
      <c r="G22" s="18" t="s">
        <v>118</v>
      </c>
      <c r="H22" s="13" t="s">
        <v>165</v>
      </c>
      <c r="I22" s="5" t="s">
        <v>138</v>
      </c>
    </row>
    <row r="23" spans="1:9" ht="34" x14ac:dyDescent="0.2">
      <c r="A23" s="4" t="s">
        <v>40</v>
      </c>
      <c r="B23" s="4" t="s">
        <v>41</v>
      </c>
      <c r="C23" s="5" t="s">
        <v>87</v>
      </c>
      <c r="D23" s="5" t="s">
        <v>90</v>
      </c>
      <c r="E23" s="5" t="s">
        <v>109</v>
      </c>
      <c r="F23" s="6" t="s">
        <v>137</v>
      </c>
      <c r="G23" s="14"/>
      <c r="H23" s="15"/>
      <c r="I23" s="5"/>
    </row>
    <row r="24" spans="1:9" x14ac:dyDescent="0.2">
      <c r="A24" s="4" t="s">
        <v>44</v>
      </c>
      <c r="B24" s="4" t="s">
        <v>45</v>
      </c>
      <c r="C24" s="5" t="s">
        <v>111</v>
      </c>
      <c r="D24" s="5" t="s">
        <v>89</v>
      </c>
      <c r="E24" s="5" t="s">
        <v>110</v>
      </c>
      <c r="F24" s="6"/>
      <c r="G24" s="5"/>
      <c r="H24" s="13"/>
      <c r="I24" s="5"/>
    </row>
    <row r="25" spans="1:9" x14ac:dyDescent="0.2">
      <c r="A25" s="4" t="s">
        <v>46</v>
      </c>
      <c r="B25" s="4" t="s">
        <v>47</v>
      </c>
      <c r="C25" s="5" t="s">
        <v>93</v>
      </c>
      <c r="D25" s="5" t="s">
        <v>112</v>
      </c>
      <c r="E25" s="5" t="s">
        <v>93</v>
      </c>
      <c r="F25" s="6"/>
      <c r="G25" s="5"/>
      <c r="H25" s="13"/>
      <c r="I25" s="5"/>
    </row>
    <row r="26" spans="1:9" x14ac:dyDescent="0.2">
      <c r="A26" s="4" t="s">
        <v>48</v>
      </c>
      <c r="B26" s="4" t="s">
        <v>49</v>
      </c>
      <c r="C26" s="5" t="s">
        <v>93</v>
      </c>
      <c r="D26" s="5" t="s">
        <v>112</v>
      </c>
      <c r="E26" s="5" t="s">
        <v>93</v>
      </c>
      <c r="F26" s="6"/>
      <c r="G26" s="5"/>
      <c r="H26" s="13"/>
      <c r="I26" s="5"/>
    </row>
    <row r="27" spans="1:9" x14ac:dyDescent="0.2">
      <c r="A27" s="4" t="s">
        <v>50</v>
      </c>
      <c r="B27" s="4" t="s">
        <v>51</v>
      </c>
      <c r="C27" s="5" t="s">
        <v>94</v>
      </c>
      <c r="D27" s="5" t="s">
        <v>80</v>
      </c>
      <c r="E27" s="5" t="s">
        <v>94</v>
      </c>
      <c r="F27" s="6"/>
      <c r="G27" s="5"/>
      <c r="H27" s="13"/>
      <c r="I27" s="5"/>
    </row>
    <row r="28" spans="1:9" hidden="1" x14ac:dyDescent="0.2">
      <c r="A28" s="10" t="s">
        <v>52</v>
      </c>
      <c r="B28" s="10" t="s">
        <v>53</v>
      </c>
      <c r="C28" s="11"/>
      <c r="D28" s="11"/>
      <c r="E28" s="11"/>
    </row>
    <row r="29" spans="1:9" hidden="1" x14ac:dyDescent="0.2">
      <c r="A29" s="4" t="s">
        <v>54</v>
      </c>
      <c r="B29" s="4" t="s">
        <v>55</v>
      </c>
      <c r="C29" s="5"/>
      <c r="D29" s="5"/>
      <c r="E29" s="5"/>
    </row>
    <row r="30" spans="1:9" hidden="1" x14ac:dyDescent="0.2">
      <c r="A30" s="4" t="s">
        <v>56</v>
      </c>
      <c r="B30" s="4" t="s">
        <v>57</v>
      </c>
      <c r="C30" s="5"/>
      <c r="D30" s="5"/>
      <c r="E30" s="5"/>
    </row>
    <row r="31" spans="1:9" hidden="1" x14ac:dyDescent="0.2">
      <c r="A31" s="4" t="s">
        <v>58</v>
      </c>
      <c r="B31" s="4" t="s">
        <v>59</v>
      </c>
      <c r="C31" s="5"/>
      <c r="D31" s="5"/>
      <c r="E31" s="5"/>
    </row>
    <row r="32" spans="1:9" ht="17" hidden="1" x14ac:dyDescent="0.2">
      <c r="A32" s="4" t="s">
        <v>60</v>
      </c>
      <c r="B32" s="6" t="s">
        <v>69</v>
      </c>
      <c r="C32" s="5"/>
      <c r="D32" s="5"/>
      <c r="E32" s="5"/>
    </row>
    <row r="33" spans="1:5" hidden="1" x14ac:dyDescent="0.2">
      <c r="A33" s="4" t="s">
        <v>61</v>
      </c>
      <c r="B33" s="4" t="s">
        <v>62</v>
      </c>
      <c r="C33" s="5"/>
      <c r="D33" s="5"/>
      <c r="E33" s="5"/>
    </row>
    <row r="34" spans="1:5" hidden="1" x14ac:dyDescent="0.2">
      <c r="A34" s="4" t="s">
        <v>63</v>
      </c>
      <c r="B34" s="4" t="s">
        <v>64</v>
      </c>
      <c r="C34" s="5"/>
      <c r="D34" s="5"/>
      <c r="E34" s="5"/>
    </row>
    <row r="35" spans="1:5" hidden="1" x14ac:dyDescent="0.2">
      <c r="A35" s="4" t="s">
        <v>65</v>
      </c>
      <c r="B35" s="4" t="s">
        <v>66</v>
      </c>
      <c r="C35" s="5"/>
      <c r="D35" s="5"/>
      <c r="E35" s="5"/>
    </row>
    <row r="36" spans="1:5" hidden="1" x14ac:dyDescent="0.2">
      <c r="A36" s="4" t="s">
        <v>67</v>
      </c>
      <c r="B36" s="4" t="s">
        <v>68</v>
      </c>
      <c r="C36" s="5"/>
      <c r="D36" s="5"/>
      <c r="E36" s="5"/>
    </row>
    <row r="37" spans="1:5" hidden="1" x14ac:dyDescent="0.2">
      <c r="A37" s="1" t="s">
        <v>84</v>
      </c>
    </row>
    <row r="38" spans="1:5" hidden="1" x14ac:dyDescent="0.2">
      <c r="A38" t="s">
        <v>86</v>
      </c>
      <c r="B38" s="7" t="s">
        <v>85</v>
      </c>
    </row>
  </sheetData>
  <hyperlinks>
    <hyperlink ref="B38" r:id="rId1" xr:uid="{A855BFB9-ABDD-3842-AD45-7E86F6D32E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2022-09-27T00:31:59Z</dcterms:created>
  <dcterms:modified xsi:type="dcterms:W3CDTF">2023-04-06T18:25:39Z</dcterms:modified>
</cp:coreProperties>
</file>