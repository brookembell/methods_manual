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Unit conversion/"/>
    </mc:Choice>
  </mc:AlternateContent>
  <xr:revisionPtr revIDLastSave="0" documentId="13_ncr:1_{00695C50-AB5B-E04A-9552-6AFFC1D33D0C}" xr6:coauthVersionLast="47" xr6:coauthVersionMax="47" xr10:uidLastSave="{00000000-0000-0000-0000-000000000000}"/>
  <bookViews>
    <workbookView xWindow="0" yWindow="500" windowWidth="35840" windowHeight="19460" xr2:uid="{91F9A816-9D69-4A3C-A7CB-90A38C611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D12" i="1"/>
  <c r="J9" i="1"/>
  <c r="I9" i="1"/>
  <c r="G9" i="1"/>
  <c r="G5" i="1"/>
  <c r="J5" i="1" s="1"/>
  <c r="F9" i="1"/>
  <c r="E9" i="1"/>
  <c r="D9" i="1"/>
  <c r="J3" i="1"/>
  <c r="I3" i="1"/>
  <c r="E5" i="1"/>
  <c r="F5" i="1"/>
  <c r="D5" i="1"/>
  <c r="G3" i="1"/>
</calcChain>
</file>

<file path=xl/sharedStrings.xml><?xml version="1.0" encoding="utf-8"?>
<sst xmlns="http://schemas.openxmlformats.org/spreadsheetml/2006/main" count="23" uniqueCount="21">
  <si>
    <t>food</t>
  </si>
  <si>
    <t>effect_normal_mean</t>
  </si>
  <si>
    <t>effect_normal_mean_lb</t>
  </si>
  <si>
    <t>effect_normal_mean_ub</t>
  </si>
  <si>
    <t>frt</t>
  </si>
  <si>
    <t>SE</t>
  </si>
  <si>
    <t>unit</t>
  </si>
  <si>
    <t>100 grams</t>
  </si>
  <si>
    <t>outcome</t>
  </si>
  <si>
    <t>BMI</t>
  </si>
  <si>
    <t>oral cancer</t>
  </si>
  <si>
    <t>effect size_converted</t>
  </si>
  <si>
    <t>SE_converted</t>
  </si>
  <si>
    <t>1 serving/d</t>
  </si>
  <si>
    <t>pf_ns</t>
  </si>
  <si>
    <t>1 oz/week</t>
  </si>
  <si>
    <t>diabetes</t>
  </si>
  <si>
    <t>day</t>
  </si>
  <si>
    <t>149.37 grams</t>
  </si>
  <si>
    <t>1 cup</t>
  </si>
  <si>
    <t>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</si>
</sst>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7BB2-F96D-4ACE-BAE7-8FABD9509BA2}">
  <dimension ref="A1:J14"/>
  <sheetViews>
    <sheetView tabSelected="1" zoomScale="301" workbookViewId="0">
      <selection activeCell="G12" sqref="G12"/>
    </sheetView>
  </sheetViews>
  <sheetFormatPr baseColWidth="10" defaultColWidth="8.83203125" defaultRowHeight="15" x14ac:dyDescent="0.2"/>
  <cols>
    <col min="2" max="2" width="15.5" customWidth="1"/>
  </cols>
  <sheetData>
    <row r="1" spans="1:10" x14ac:dyDescent="0.2">
      <c r="A1">
        <v>149.37</v>
      </c>
    </row>
    <row r="2" spans="1:10" x14ac:dyDescent="0.2">
      <c r="A2" t="s">
        <v>0</v>
      </c>
      <c r="B2" t="s">
        <v>6</v>
      </c>
      <c r="C2" t="s">
        <v>8</v>
      </c>
      <c r="D2" t="s">
        <v>1</v>
      </c>
      <c r="E2" t="s">
        <v>2</v>
      </c>
      <c r="F2" t="s">
        <v>3</v>
      </c>
      <c r="G2" t="s">
        <v>5</v>
      </c>
      <c r="I2" t="s">
        <v>11</v>
      </c>
      <c r="J2" t="s">
        <v>12</v>
      </c>
    </row>
    <row r="3" spans="1:10" x14ac:dyDescent="0.2">
      <c r="A3" t="s">
        <v>4</v>
      </c>
      <c r="B3" t="s">
        <v>13</v>
      </c>
      <c r="C3" t="s">
        <v>9</v>
      </c>
      <c r="D3" s="1">
        <v>-0.06</v>
      </c>
      <c r="E3">
        <v>-0.08</v>
      </c>
      <c r="F3">
        <v>-0.04</v>
      </c>
      <c r="G3" s="1">
        <f>(F3-E3)/3.92</f>
        <v>1.0204081632653062E-2</v>
      </c>
      <c r="I3" s="2">
        <f>D3</f>
        <v>-0.06</v>
      </c>
      <c r="J3" s="2">
        <f>G3</f>
        <v>1.0204081632653062E-2</v>
      </c>
    </row>
    <row r="4" spans="1:10" x14ac:dyDescent="0.2">
      <c r="A4" t="s">
        <v>4</v>
      </c>
      <c r="B4" t="s">
        <v>7</v>
      </c>
      <c r="C4" t="s">
        <v>10</v>
      </c>
      <c r="D4">
        <v>0.95</v>
      </c>
      <c r="E4">
        <v>0.91</v>
      </c>
      <c r="F4">
        <v>1</v>
      </c>
    </row>
    <row r="5" spans="1:10" x14ac:dyDescent="0.2">
      <c r="D5" s="1">
        <f>LN(D4)</f>
        <v>-5.1293294387550578E-2</v>
      </c>
      <c r="E5">
        <f t="shared" ref="E5:F5" si="0">LN(E4)</f>
        <v>-9.431067947124129E-2</v>
      </c>
      <c r="F5">
        <f t="shared" si="0"/>
        <v>0</v>
      </c>
      <c r="G5" s="1">
        <f t="shared" ref="G5" si="1">(F5-E5)/3.92</f>
        <v>2.4058846803888086E-2</v>
      </c>
      <c r="I5" s="2">
        <f>D5*A1/100</f>
        <v>-7.6616793826684293E-2</v>
      </c>
      <c r="J5" s="2">
        <f>G5*100/A1</f>
        <v>1.6106880099007893E-2</v>
      </c>
    </row>
    <row r="8" spans="1:10" x14ac:dyDescent="0.2">
      <c r="A8" t="s">
        <v>14</v>
      </c>
      <c r="B8" t="s">
        <v>15</v>
      </c>
      <c r="C8" t="s">
        <v>16</v>
      </c>
      <c r="D8">
        <v>0.95</v>
      </c>
      <c r="E8">
        <v>0.92</v>
      </c>
      <c r="F8">
        <v>0.98</v>
      </c>
    </row>
    <row r="9" spans="1:10" x14ac:dyDescent="0.2">
      <c r="D9" s="1">
        <f>LN(D8)</f>
        <v>-5.1293294387550578E-2</v>
      </c>
      <c r="E9">
        <f>LN(E8)</f>
        <v>-8.3381608939051013E-2</v>
      </c>
      <c r="F9">
        <f>LN(F8)</f>
        <v>-2.0202707317519466E-2</v>
      </c>
      <c r="G9" s="1">
        <f>(F9-E9)/3.92</f>
        <v>1.611706674018662E-2</v>
      </c>
      <c r="I9" s="2">
        <f>(D9/7)</f>
        <v>-7.327613483935797E-3</v>
      </c>
      <c r="J9" s="2">
        <f>(G9/7)</f>
        <v>2.3024381057409455E-3</v>
      </c>
    </row>
    <row r="12" spans="1:10" x14ac:dyDescent="0.2">
      <c r="D12" s="3">
        <f>LN(0.95)</f>
        <v>-5.1293294387550578E-2</v>
      </c>
      <c r="E12" t="s">
        <v>20</v>
      </c>
      <c r="F12" t="s">
        <v>18</v>
      </c>
    </row>
    <row r="13" spans="1:10" x14ac:dyDescent="0.2">
      <c r="D13" s="4" t="s">
        <v>7</v>
      </c>
      <c r="F13" t="s">
        <v>19</v>
      </c>
    </row>
    <row r="14" spans="1:10" x14ac:dyDescent="0.2">
      <c r="D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Fang Fang</dc:creator>
  <cp:lastModifiedBy>Microsoft Office User</cp:lastModifiedBy>
  <dcterms:created xsi:type="dcterms:W3CDTF">2022-11-21T22:23:25Z</dcterms:created>
  <dcterms:modified xsi:type="dcterms:W3CDTF">2022-12-09T13:46:40Z</dcterms:modified>
</cp:coreProperties>
</file>