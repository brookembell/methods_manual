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zhang02\Box\project_lasting\lasting_aim_3\planning\Methods for converting units\"/>
    </mc:Choice>
  </mc:AlternateContent>
  <xr:revisionPtr revIDLastSave="0" documentId="8_{CC43D44B-AA24-452C-BD21-F8854D8089CA}" xr6:coauthVersionLast="47" xr6:coauthVersionMax="47" xr10:uidLastSave="{00000000-0000-0000-0000-000000000000}"/>
  <bookViews>
    <workbookView xWindow="28680" yWindow="-120" windowWidth="29040" windowHeight="15840" xr2:uid="{91F9A816-9D69-4A3C-A7CB-90A38C611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I5" i="1"/>
  <c r="J3" i="1"/>
  <c r="I3" i="1"/>
  <c r="E5" i="1"/>
  <c r="F5" i="1"/>
  <c r="D5" i="1"/>
  <c r="G3" i="1"/>
  <c r="G5" i="1" l="1"/>
</calcChain>
</file>

<file path=xl/sharedStrings.xml><?xml version="1.0" encoding="utf-8"?>
<sst xmlns="http://schemas.openxmlformats.org/spreadsheetml/2006/main" count="15" uniqueCount="14">
  <si>
    <t>food</t>
  </si>
  <si>
    <t>effect_normal_mean</t>
  </si>
  <si>
    <t>effect_normal_mean_lb</t>
  </si>
  <si>
    <t>effect_normal_mean_ub</t>
  </si>
  <si>
    <t>frt</t>
  </si>
  <si>
    <t>SE</t>
  </si>
  <si>
    <t>unit</t>
  </si>
  <si>
    <t>100 grams</t>
  </si>
  <si>
    <t>outcome</t>
  </si>
  <si>
    <t>BMI</t>
  </si>
  <si>
    <t>oral cancer</t>
  </si>
  <si>
    <t>effect size_converted</t>
  </si>
  <si>
    <t>SE_converted</t>
  </si>
  <si>
    <t>1 serving/d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</si>
</sst>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7BB2-F96D-4ACE-BAE7-8FABD9509BA2}">
  <dimension ref="A1:J5"/>
  <sheetViews>
    <sheetView tabSelected="1" workbookViewId="0">
      <selection activeCell="N12" sqref="N12"/>
    </sheetView>
  </sheetViews>
  <sheetFormatPr defaultRowHeight="15" x14ac:dyDescent="0.25"/>
  <cols>
    <col min="2" max="2" width="15.42578125" customWidth="1"/>
  </cols>
  <sheetData>
    <row r="1" spans="1:10" x14ac:dyDescent="0.25">
      <c r="A1">
        <v>149.37</v>
      </c>
    </row>
    <row r="2" spans="1:10" x14ac:dyDescent="0.25">
      <c r="A2" t="s">
        <v>0</v>
      </c>
      <c r="B2" t="s">
        <v>6</v>
      </c>
      <c r="C2" t="s">
        <v>8</v>
      </c>
      <c r="D2" t="s">
        <v>1</v>
      </c>
      <c r="E2" t="s">
        <v>2</v>
      </c>
      <c r="F2" t="s">
        <v>3</v>
      </c>
      <c r="G2" t="s">
        <v>5</v>
      </c>
      <c r="I2" t="s">
        <v>11</v>
      </c>
      <c r="J2" t="s">
        <v>12</v>
      </c>
    </row>
    <row r="3" spans="1:10" x14ac:dyDescent="0.25">
      <c r="A3" t="s">
        <v>4</v>
      </c>
      <c r="B3" t="s">
        <v>13</v>
      </c>
      <c r="C3" t="s">
        <v>9</v>
      </c>
      <c r="D3" s="1">
        <v>-0.06</v>
      </c>
      <c r="E3">
        <v>-0.08</v>
      </c>
      <c r="F3">
        <v>-0.04</v>
      </c>
      <c r="G3" s="1">
        <f>(F3-E3)/3.92</f>
        <v>1.0204081632653062E-2</v>
      </c>
      <c r="I3" s="2">
        <f>D3</f>
        <v>-0.06</v>
      </c>
      <c r="J3" s="2">
        <f>G3</f>
        <v>1.0204081632653062E-2</v>
      </c>
    </row>
    <row r="4" spans="1:10" x14ac:dyDescent="0.25">
      <c r="A4" t="s">
        <v>4</v>
      </c>
      <c r="B4" t="s">
        <v>7</v>
      </c>
      <c r="C4" t="s">
        <v>10</v>
      </c>
      <c r="D4">
        <v>0.95</v>
      </c>
      <c r="E4">
        <v>0.91</v>
      </c>
      <c r="F4">
        <v>1</v>
      </c>
    </row>
    <row r="5" spans="1:10" x14ac:dyDescent="0.25">
      <c r="D5" s="1">
        <f>LN(D4)</f>
        <v>-5.1293294387550578E-2</v>
      </c>
      <c r="E5">
        <f t="shared" ref="E5:F5" si="0">LN(E4)</f>
        <v>-9.431067947124129E-2</v>
      </c>
      <c r="F5">
        <f t="shared" si="0"/>
        <v>0</v>
      </c>
      <c r="G5" s="1">
        <f t="shared" ref="G5" si="1">(F5-E5)/3.92</f>
        <v>2.4058846803888086E-2</v>
      </c>
      <c r="I5" s="2">
        <f>D5*100/A1</f>
        <v>-3.4339756569291405E-2</v>
      </c>
      <c r="J5" s="2">
        <f>G5*100/A1</f>
        <v>1.6106880099007893E-2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Fang Fang</dc:creator>
  <cp:lastModifiedBy>Zhang, Fang Fang</cp:lastModifiedBy>
  <dcterms:created xsi:type="dcterms:W3CDTF">2022-11-21T22:23:25Z</dcterms:created>
  <dcterms:modified xsi:type="dcterms:W3CDTF">2022-11-21T22:46:31Z</dcterms:modified>
</cp:coreProperties>
</file>