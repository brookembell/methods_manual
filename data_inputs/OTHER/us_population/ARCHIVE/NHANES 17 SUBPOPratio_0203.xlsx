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gu02\Box\lasting_aim_3\model development\data_new\in\"/>
    </mc:Choice>
  </mc:AlternateContent>
  <xr:revisionPtr revIDLastSave="0" documentId="13_ncr:1_{21F10E6D-B318-4F07-898B-CDD44E27C4D4}" xr6:coauthVersionLast="47" xr6:coauthVersionMax="47" xr10:uidLastSave="{00000000-0000-0000-0000-000000000000}"/>
  <bookViews>
    <workbookView xWindow="7200" yWindow="420" windowWidth="21470" windowHeight="10520" xr2:uid="{145331F1-8827-42E5-A66D-978F8774EA81}"/>
  </bookViews>
  <sheets>
    <sheet name="NHANES17" sheetId="1" r:id="rId1"/>
  </sheets>
  <definedNames>
    <definedName name="ExternalData_1" localSheetId="0">NHANES17!$A$1:$E$51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3" i="1"/>
  <c r="I6" i="1"/>
  <c r="I9" i="1"/>
  <c r="I5" i="1"/>
  <c r="I7" i="1"/>
  <c r="I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4" i="1"/>
  <c r="H4" i="1"/>
  <c r="H54" i="1"/>
  <c r="H55" i="1"/>
  <c r="H56" i="1"/>
  <c r="H57" i="1"/>
  <c r="H53" i="1"/>
  <c r="H52" i="1"/>
  <c r="H58" i="1"/>
  <c r="H59" i="1"/>
  <c r="G59" i="1"/>
  <c r="G58" i="1"/>
  <c r="G57" i="1"/>
  <c r="G56" i="1"/>
  <c r="G55" i="1"/>
  <c r="G54" i="1"/>
  <c r="G53" i="1"/>
  <c r="G52" i="1"/>
  <c r="G51" i="1"/>
  <c r="H47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8" i="1"/>
  <c r="H49" i="1"/>
  <c r="H50" i="1"/>
  <c r="H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1" i="1"/>
  <c r="G7" i="1"/>
  <c r="G12" i="1"/>
  <c r="G10" i="1"/>
  <c r="G9" i="1"/>
  <c r="G8" i="1"/>
  <c r="G6" i="1"/>
  <c r="G5" i="1"/>
  <c r="G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C5EEA2-3D52-4E5F-8092-3037CE094FB7}" name="Connection" type="4" refreshedVersion="7" background="1" saveData="1">
    <webPr sourceData="1" parsePre="1" consecutive="1" xl2000="1" url="file://C:\Users\zgu02\AppData\Local\Temp\SAS Temporary Files\_TD560_ENGLAB-013_\sashtml.htm#IDX" htmlTables="1">
      <tables count="1">
        <x v="2"/>
      </tables>
    </webPr>
  </connection>
</connections>
</file>

<file path=xl/sharedStrings.xml><?xml version="1.0" encoding="utf-8"?>
<sst xmlns="http://schemas.openxmlformats.org/spreadsheetml/2006/main" count="18" uniqueCount="15">
  <si>
    <t>subgroup_id</t>
  </si>
  <si>
    <t>Frequency</t>
  </si>
  <si>
    <t>Percent</t>
  </si>
  <si>
    <t>Cumulative</t>
  </si>
  <si>
    <t>2010  total</t>
  </si>
  <si>
    <t>2020 total</t>
  </si>
  <si>
    <t>NHW-F</t>
  </si>
  <si>
    <t>NHB-F</t>
  </si>
  <si>
    <t>OTH-F</t>
  </si>
  <si>
    <t>OTH-M</t>
  </si>
  <si>
    <t>HIS-F</t>
  </si>
  <si>
    <t>NHW-M</t>
  </si>
  <si>
    <t>NHB-M</t>
  </si>
  <si>
    <t>HIS-M</t>
  </si>
  <si>
    <t>2018total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</si>
</sst>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overwriteClear" connectionId="1" xr16:uid="{40EC5334-8F39-4B33-B3F3-45BBC8074A1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30F0-9634-4462-BCAA-CEA054EA9F5B}">
  <dimension ref="A1:L59"/>
  <sheetViews>
    <sheetView tabSelected="1" workbookViewId="0">
      <selection activeCell="K3" sqref="K3"/>
    </sheetView>
  </sheetViews>
  <sheetFormatPr defaultRowHeight="14.5" x14ac:dyDescent="0.35"/>
  <cols>
    <col min="1" max="1" width="11.26953125" bestFit="1" customWidth="1"/>
    <col min="2" max="2" width="9.453125" bestFit="1" customWidth="1"/>
    <col min="3" max="3" width="7.08984375" bestFit="1" customWidth="1"/>
    <col min="4" max="5" width="10.1796875" bestFit="1" customWidth="1"/>
    <col min="7" max="8" width="9.81640625" bestFit="1" customWidth="1"/>
    <col min="9" max="9" width="14.6328125" customWidth="1"/>
    <col min="11" max="11" width="16" customWidth="1"/>
    <col min="12" max="12" width="11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3</v>
      </c>
      <c r="G1" t="s">
        <v>4</v>
      </c>
      <c r="H1" t="s">
        <v>5</v>
      </c>
      <c r="I1" t="s">
        <v>14</v>
      </c>
    </row>
    <row r="2" spans="1:12" x14ac:dyDescent="0.35">
      <c r="D2" t="s">
        <v>1</v>
      </c>
      <c r="E2" t="s">
        <v>2</v>
      </c>
      <c r="G2">
        <v>308745538</v>
      </c>
      <c r="H2">
        <v>331449281</v>
      </c>
      <c r="I2">
        <v>327167434</v>
      </c>
    </row>
    <row r="3" spans="1:12" x14ac:dyDescent="0.35">
      <c r="A3">
        <v>0</v>
      </c>
      <c r="B3">
        <v>4090</v>
      </c>
      <c r="C3">
        <v>44.2</v>
      </c>
      <c r="D3">
        <v>4090</v>
      </c>
      <c r="E3">
        <v>44.2</v>
      </c>
      <c r="K3" s="1">
        <v>14460800582.800001</v>
      </c>
      <c r="L3">
        <f>K3/100</f>
        <v>144608005.82800001</v>
      </c>
    </row>
    <row r="4" spans="1:12" x14ac:dyDescent="0.35">
      <c r="A4">
        <v>1</v>
      </c>
      <c r="B4">
        <v>133</v>
      </c>
      <c r="C4">
        <v>1.44</v>
      </c>
      <c r="D4">
        <v>4223</v>
      </c>
      <c r="E4">
        <v>45.63</v>
      </c>
      <c r="G4">
        <f>C4*G2/100</f>
        <v>4445935.7472000001</v>
      </c>
      <c r="H4">
        <f>C4*$H$2/100</f>
        <v>4772869.6464</v>
      </c>
      <c r="I4">
        <f>C4*$I$2/100</f>
        <v>4711211.0495999996</v>
      </c>
      <c r="K4" s="1">
        <v>471121104.95999998</v>
      </c>
      <c r="L4" s="1">
        <f t="shared" ref="L4:L51" si="0">K4/100</f>
        <v>4711211.0495999996</v>
      </c>
    </row>
    <row r="5" spans="1:12" x14ac:dyDescent="0.35">
      <c r="A5">
        <v>2</v>
      </c>
      <c r="B5">
        <v>115</v>
      </c>
      <c r="C5">
        <v>1.24</v>
      </c>
      <c r="D5">
        <v>4338</v>
      </c>
      <c r="E5">
        <v>46.88</v>
      </c>
      <c r="G5">
        <f>C5*G2/100</f>
        <v>3828444.6712000002</v>
      </c>
      <c r="H5">
        <f t="shared" ref="H5:H51" si="1">C5*$H$2/100</f>
        <v>4109971.0844000001</v>
      </c>
      <c r="I5">
        <f t="shared" ref="I5:I59" si="2">C5*$I$2/100</f>
        <v>4056876.1816000002</v>
      </c>
      <c r="K5" s="1">
        <v>405687618.16000003</v>
      </c>
      <c r="L5" s="1">
        <f t="shared" si="0"/>
        <v>4056876.1816000002</v>
      </c>
    </row>
    <row r="6" spans="1:12" x14ac:dyDescent="0.35">
      <c r="A6">
        <v>3</v>
      </c>
      <c r="B6">
        <v>92</v>
      </c>
      <c r="C6">
        <v>0.99</v>
      </c>
      <c r="D6">
        <v>4430</v>
      </c>
      <c r="E6">
        <v>47.87</v>
      </c>
      <c r="G6">
        <f>C6*G2/100</f>
        <v>3056580.8262</v>
      </c>
      <c r="H6">
        <f t="shared" si="1"/>
        <v>3281347.8818999999</v>
      </c>
      <c r="I6">
        <f>C6*$I$2/100</f>
        <v>3238957.5966000003</v>
      </c>
      <c r="K6" s="1">
        <v>323895759.66000003</v>
      </c>
      <c r="L6" s="1">
        <f t="shared" si="0"/>
        <v>3238957.5966000003</v>
      </c>
    </row>
    <row r="7" spans="1:12" x14ac:dyDescent="0.35">
      <c r="A7">
        <v>4</v>
      </c>
      <c r="B7">
        <v>110</v>
      </c>
      <c r="C7">
        <v>1.19</v>
      </c>
      <c r="D7">
        <v>4540</v>
      </c>
      <c r="E7">
        <v>49.06</v>
      </c>
      <c r="G7">
        <f>C7*G2/100</f>
        <v>3674071.9021999999</v>
      </c>
      <c r="H7">
        <f t="shared" si="1"/>
        <v>3944246.4438999998</v>
      </c>
      <c r="I7">
        <f t="shared" si="2"/>
        <v>3893292.4645999996</v>
      </c>
      <c r="K7" s="1">
        <v>389329246.45999998</v>
      </c>
      <c r="L7" s="1">
        <f t="shared" si="0"/>
        <v>3893292.4645999996</v>
      </c>
    </row>
    <row r="8" spans="1:12" x14ac:dyDescent="0.35">
      <c r="A8">
        <v>5</v>
      </c>
      <c r="B8">
        <v>132</v>
      </c>
      <c r="C8">
        <v>1.43</v>
      </c>
      <c r="D8">
        <v>4672</v>
      </c>
      <c r="E8">
        <v>50.49</v>
      </c>
      <c r="G8">
        <f>C8*G2/100</f>
        <v>4415061.1933999993</v>
      </c>
      <c r="H8">
        <f t="shared" si="1"/>
        <v>4739724.7182999998</v>
      </c>
      <c r="I8">
        <f t="shared" si="2"/>
        <v>4678494.3062000005</v>
      </c>
      <c r="K8" s="1">
        <v>467849430.62</v>
      </c>
      <c r="L8" s="1">
        <f t="shared" si="0"/>
        <v>4678494.3062000005</v>
      </c>
    </row>
    <row r="9" spans="1:12" x14ac:dyDescent="0.35">
      <c r="A9">
        <v>6</v>
      </c>
      <c r="B9">
        <v>86</v>
      </c>
      <c r="C9">
        <v>0.93</v>
      </c>
      <c r="D9">
        <v>4758</v>
      </c>
      <c r="E9">
        <v>51.42</v>
      </c>
      <c r="G9">
        <f>C9*G2/100</f>
        <v>2871333.5034000003</v>
      </c>
      <c r="H9">
        <f t="shared" si="1"/>
        <v>3082478.3133000005</v>
      </c>
      <c r="I9">
        <f>C9*$I$2/100</f>
        <v>3042657.1362000001</v>
      </c>
      <c r="K9" s="1">
        <v>304265713.62</v>
      </c>
      <c r="L9" s="1">
        <f t="shared" si="0"/>
        <v>3042657.1362000001</v>
      </c>
    </row>
    <row r="10" spans="1:12" x14ac:dyDescent="0.35">
      <c r="A10">
        <v>7</v>
      </c>
      <c r="B10">
        <v>93</v>
      </c>
      <c r="C10">
        <v>1</v>
      </c>
      <c r="D10">
        <v>4851</v>
      </c>
      <c r="E10">
        <v>52.42</v>
      </c>
      <c r="G10">
        <f>C10*G2/100</f>
        <v>3087455.38</v>
      </c>
      <c r="H10">
        <f t="shared" si="1"/>
        <v>3314492.81</v>
      </c>
      <c r="I10">
        <f t="shared" si="2"/>
        <v>3271674.34</v>
      </c>
      <c r="K10" s="1">
        <v>327167434</v>
      </c>
      <c r="L10" s="1">
        <f t="shared" si="0"/>
        <v>3271674.34</v>
      </c>
    </row>
    <row r="11" spans="1:12" x14ac:dyDescent="0.35">
      <c r="A11">
        <v>8</v>
      </c>
      <c r="B11">
        <v>104</v>
      </c>
      <c r="C11">
        <v>1.1200000000000001</v>
      </c>
      <c r="D11">
        <v>4955</v>
      </c>
      <c r="E11">
        <v>53.54</v>
      </c>
      <c r="G11">
        <f>C11*G2/100</f>
        <v>3457950.0256000008</v>
      </c>
      <c r="H11">
        <f t="shared" si="1"/>
        <v>3712231.9472000003</v>
      </c>
      <c r="I11">
        <f t="shared" si="2"/>
        <v>3664275.2608000003</v>
      </c>
      <c r="K11" s="1">
        <v>366427526.08000004</v>
      </c>
      <c r="L11" s="1">
        <f t="shared" si="0"/>
        <v>3664275.2608000003</v>
      </c>
    </row>
    <row r="12" spans="1:12" x14ac:dyDescent="0.35">
      <c r="A12">
        <v>9</v>
      </c>
      <c r="B12">
        <v>134</v>
      </c>
      <c r="C12">
        <v>1.45</v>
      </c>
      <c r="D12">
        <v>5089</v>
      </c>
      <c r="E12">
        <v>54.99</v>
      </c>
      <c r="G12">
        <f>C12*G2/100</f>
        <v>4476810.301</v>
      </c>
      <c r="H12">
        <f t="shared" si="1"/>
        <v>4806014.5745000001</v>
      </c>
      <c r="I12">
        <f t="shared" si="2"/>
        <v>4743927.7930000005</v>
      </c>
      <c r="K12" s="1">
        <v>474392779.30000001</v>
      </c>
      <c r="L12" s="1">
        <f t="shared" si="0"/>
        <v>4743927.7930000005</v>
      </c>
    </row>
    <row r="13" spans="1:12" x14ac:dyDescent="0.35">
      <c r="A13">
        <v>10</v>
      </c>
      <c r="B13">
        <v>103</v>
      </c>
      <c r="C13">
        <v>1.1100000000000001</v>
      </c>
      <c r="D13">
        <v>5192</v>
      </c>
      <c r="E13">
        <v>56.11</v>
      </c>
      <c r="G13">
        <f>C13*G2/100</f>
        <v>3427075.4717999999</v>
      </c>
      <c r="H13">
        <f t="shared" si="1"/>
        <v>3679087.0191000002</v>
      </c>
      <c r="I13">
        <f t="shared" si="2"/>
        <v>3631558.5174000002</v>
      </c>
      <c r="K13" s="1">
        <v>363155851.74000001</v>
      </c>
      <c r="L13" s="1">
        <f t="shared" si="0"/>
        <v>3631558.5174000002</v>
      </c>
    </row>
    <row r="14" spans="1:12" x14ac:dyDescent="0.35">
      <c r="A14">
        <v>11</v>
      </c>
      <c r="B14">
        <v>128</v>
      </c>
      <c r="C14">
        <v>1.38</v>
      </c>
      <c r="D14">
        <v>5320</v>
      </c>
      <c r="E14">
        <v>57.49</v>
      </c>
      <c r="G14">
        <f>C14*G2/100</f>
        <v>4260688.424399999</v>
      </c>
      <c r="H14">
        <f t="shared" si="1"/>
        <v>4574000.0778000001</v>
      </c>
      <c r="I14">
        <f t="shared" si="2"/>
        <v>4514910.5891999993</v>
      </c>
      <c r="K14" s="1">
        <v>451491058.91999996</v>
      </c>
      <c r="L14" s="1">
        <f t="shared" si="0"/>
        <v>4514910.5891999993</v>
      </c>
    </row>
    <row r="15" spans="1:12" x14ac:dyDescent="0.35">
      <c r="A15">
        <v>12</v>
      </c>
      <c r="B15">
        <v>92</v>
      </c>
      <c r="C15">
        <v>0.99</v>
      </c>
      <c r="D15">
        <v>5412</v>
      </c>
      <c r="E15">
        <v>58.48</v>
      </c>
      <c r="G15">
        <f>C15*G2/100</f>
        <v>3056580.8262</v>
      </c>
      <c r="H15">
        <f t="shared" si="1"/>
        <v>3281347.8818999999</v>
      </c>
      <c r="I15">
        <f t="shared" si="2"/>
        <v>3238957.5966000003</v>
      </c>
      <c r="K15" s="1">
        <v>323895759.66000003</v>
      </c>
      <c r="L15" s="1">
        <f t="shared" si="0"/>
        <v>3238957.5966000003</v>
      </c>
    </row>
    <row r="16" spans="1:12" x14ac:dyDescent="0.35">
      <c r="A16">
        <v>13</v>
      </c>
      <c r="B16">
        <v>108</v>
      </c>
      <c r="C16">
        <v>1.17</v>
      </c>
      <c r="D16">
        <v>5520</v>
      </c>
      <c r="E16">
        <v>59.65</v>
      </c>
      <c r="G16">
        <f>C16*G2/100</f>
        <v>3612322.7945999997</v>
      </c>
      <c r="H16">
        <f t="shared" si="1"/>
        <v>3877956.5877</v>
      </c>
      <c r="I16">
        <f t="shared" si="2"/>
        <v>3827858.9777999995</v>
      </c>
      <c r="K16" s="1">
        <v>382785897.77999997</v>
      </c>
      <c r="L16" s="1">
        <f t="shared" si="0"/>
        <v>3827858.9777999995</v>
      </c>
    </row>
    <row r="17" spans="1:12" x14ac:dyDescent="0.35">
      <c r="A17">
        <v>14</v>
      </c>
      <c r="B17">
        <v>82</v>
      </c>
      <c r="C17">
        <v>0.89</v>
      </c>
      <c r="D17">
        <v>5602</v>
      </c>
      <c r="E17">
        <v>60.54</v>
      </c>
      <c r="G17">
        <f>C17*G2/100</f>
        <v>2747835.2881999998</v>
      </c>
      <c r="H17">
        <f t="shared" si="1"/>
        <v>2949898.6009000004</v>
      </c>
      <c r="I17">
        <f t="shared" si="2"/>
        <v>2911790.1625999999</v>
      </c>
      <c r="K17" s="1">
        <v>291179016.25999999</v>
      </c>
      <c r="L17" s="1">
        <f t="shared" si="0"/>
        <v>2911790.1625999999</v>
      </c>
    </row>
    <row r="18" spans="1:12" x14ac:dyDescent="0.35">
      <c r="A18">
        <v>15</v>
      </c>
      <c r="B18">
        <v>93</v>
      </c>
      <c r="C18">
        <v>1</v>
      </c>
      <c r="D18">
        <v>5695</v>
      </c>
      <c r="E18">
        <v>61.54</v>
      </c>
      <c r="G18">
        <f>C18*G2/100</f>
        <v>3087455.38</v>
      </c>
      <c r="H18">
        <f t="shared" si="1"/>
        <v>3314492.81</v>
      </c>
      <c r="I18">
        <f t="shared" si="2"/>
        <v>3271674.34</v>
      </c>
      <c r="K18" s="1">
        <v>327167434</v>
      </c>
      <c r="L18" s="1">
        <f t="shared" si="0"/>
        <v>3271674.34</v>
      </c>
    </row>
    <row r="19" spans="1:12" x14ac:dyDescent="0.35">
      <c r="A19">
        <v>16</v>
      </c>
      <c r="B19">
        <v>85</v>
      </c>
      <c r="C19">
        <v>0.92</v>
      </c>
      <c r="D19">
        <v>5780</v>
      </c>
      <c r="E19">
        <v>62.46</v>
      </c>
      <c r="G19">
        <f>C19*G2/100</f>
        <v>2840458.9496000004</v>
      </c>
      <c r="H19">
        <f t="shared" si="1"/>
        <v>3049333.3852000004</v>
      </c>
      <c r="I19">
        <f t="shared" si="2"/>
        <v>3009940.3928000005</v>
      </c>
      <c r="K19" s="1">
        <v>300994039.28000003</v>
      </c>
      <c r="L19" s="1">
        <f t="shared" si="0"/>
        <v>3009940.3928000005</v>
      </c>
    </row>
    <row r="20" spans="1:12" x14ac:dyDescent="0.35">
      <c r="A20">
        <v>17</v>
      </c>
      <c r="B20">
        <v>72</v>
      </c>
      <c r="C20">
        <v>0.78</v>
      </c>
      <c r="D20">
        <v>5852</v>
      </c>
      <c r="E20">
        <v>63.24</v>
      </c>
      <c r="G20">
        <f>C20*G2/100</f>
        <v>2408215.1964000002</v>
      </c>
      <c r="H20">
        <f t="shared" si="1"/>
        <v>2585304.3917999999</v>
      </c>
      <c r="I20">
        <f t="shared" si="2"/>
        <v>2551905.9852</v>
      </c>
      <c r="K20" s="1">
        <v>431861012.88</v>
      </c>
      <c r="L20" s="1">
        <f t="shared" si="0"/>
        <v>4318610.1288000001</v>
      </c>
    </row>
    <row r="21" spans="1:12" x14ac:dyDescent="0.35">
      <c r="A21">
        <v>18</v>
      </c>
      <c r="B21">
        <v>58</v>
      </c>
      <c r="C21">
        <v>0.63</v>
      </c>
      <c r="D21">
        <v>5910</v>
      </c>
      <c r="E21">
        <v>63.86</v>
      </c>
      <c r="G21">
        <f>C21*G2/100</f>
        <v>1945096.8894</v>
      </c>
      <c r="H21">
        <f t="shared" si="1"/>
        <v>2088130.4702999999</v>
      </c>
      <c r="I21">
        <f t="shared" si="2"/>
        <v>2061154.8341999999</v>
      </c>
      <c r="K21" s="1">
        <v>353340828.72000003</v>
      </c>
      <c r="L21" s="1">
        <f t="shared" si="0"/>
        <v>3533408.2872000001</v>
      </c>
    </row>
    <row r="22" spans="1:12" x14ac:dyDescent="0.35">
      <c r="A22">
        <v>19</v>
      </c>
      <c r="B22">
        <v>54</v>
      </c>
      <c r="C22">
        <v>0.57999999999999996</v>
      </c>
      <c r="D22">
        <v>5964</v>
      </c>
      <c r="E22">
        <v>64.45</v>
      </c>
      <c r="G22">
        <f>C22*G2/100</f>
        <v>1790724.1203999999</v>
      </c>
      <c r="H22">
        <f t="shared" si="1"/>
        <v>1922405.8297999999</v>
      </c>
      <c r="I22">
        <f t="shared" si="2"/>
        <v>1897571.1172</v>
      </c>
      <c r="K22" s="1">
        <v>366427526.08000004</v>
      </c>
      <c r="L22" s="1">
        <f t="shared" si="0"/>
        <v>3664275.2608000003</v>
      </c>
    </row>
    <row r="23" spans="1:12" x14ac:dyDescent="0.35">
      <c r="A23">
        <v>20</v>
      </c>
      <c r="B23">
        <v>62</v>
      </c>
      <c r="C23">
        <v>0.67</v>
      </c>
      <c r="D23">
        <v>6026</v>
      </c>
      <c r="E23">
        <v>65.12</v>
      </c>
      <c r="G23">
        <f>C23*G2/100</f>
        <v>2068595.1046000002</v>
      </c>
      <c r="H23">
        <f t="shared" si="1"/>
        <v>2220710.1827000002</v>
      </c>
      <c r="I23">
        <f t="shared" si="2"/>
        <v>2192021.8078000001</v>
      </c>
      <c r="K23" s="1">
        <v>359884177.40000004</v>
      </c>
      <c r="L23" s="1">
        <f t="shared" si="0"/>
        <v>3598841.7740000002</v>
      </c>
    </row>
    <row r="24" spans="1:12" x14ac:dyDescent="0.35">
      <c r="A24">
        <v>21</v>
      </c>
      <c r="B24">
        <v>76</v>
      </c>
      <c r="C24">
        <v>0.82</v>
      </c>
      <c r="D24">
        <v>6102</v>
      </c>
      <c r="E24">
        <v>65.94</v>
      </c>
      <c r="G24">
        <f>C24*G2/100</f>
        <v>2531713.4115999998</v>
      </c>
      <c r="H24">
        <f t="shared" si="1"/>
        <v>2717884.1041999995</v>
      </c>
      <c r="I24">
        <f t="shared" si="2"/>
        <v>2682772.9588000001</v>
      </c>
      <c r="K24" s="1">
        <v>408959292.5</v>
      </c>
      <c r="L24" s="1">
        <f t="shared" si="0"/>
        <v>4089592.9249999998</v>
      </c>
    </row>
    <row r="25" spans="1:12" x14ac:dyDescent="0.35">
      <c r="A25">
        <v>22</v>
      </c>
      <c r="B25">
        <v>56</v>
      </c>
      <c r="C25">
        <v>0.61</v>
      </c>
      <c r="D25">
        <v>6158</v>
      </c>
      <c r="E25">
        <v>66.540000000000006</v>
      </c>
      <c r="G25">
        <f>C25*G2/100</f>
        <v>1883347.7818</v>
      </c>
      <c r="H25">
        <f t="shared" si="1"/>
        <v>2021840.6140999999</v>
      </c>
      <c r="I25">
        <f t="shared" si="2"/>
        <v>1995721.3474000001</v>
      </c>
      <c r="K25" s="1">
        <v>340254131.36000001</v>
      </c>
      <c r="L25" s="1">
        <f t="shared" si="0"/>
        <v>3402541.3136</v>
      </c>
    </row>
    <row r="26" spans="1:12" x14ac:dyDescent="0.35">
      <c r="A26">
        <v>23</v>
      </c>
      <c r="B26">
        <v>46</v>
      </c>
      <c r="C26">
        <v>0.5</v>
      </c>
      <c r="D26">
        <v>6204</v>
      </c>
      <c r="E26">
        <v>67.040000000000006</v>
      </c>
      <c r="G26">
        <f>C26*G2/100</f>
        <v>1543727.69</v>
      </c>
      <c r="H26">
        <f t="shared" si="1"/>
        <v>1657246.405</v>
      </c>
      <c r="I26">
        <f t="shared" si="2"/>
        <v>1635837.17</v>
      </c>
      <c r="K26" s="1">
        <v>314080736.63999999</v>
      </c>
      <c r="L26" s="1">
        <f t="shared" si="0"/>
        <v>3140807.3663999997</v>
      </c>
    </row>
    <row r="27" spans="1:12" x14ac:dyDescent="0.35">
      <c r="A27">
        <v>24</v>
      </c>
      <c r="B27">
        <v>61</v>
      </c>
      <c r="C27">
        <v>0.66</v>
      </c>
      <c r="D27">
        <v>6265</v>
      </c>
      <c r="E27">
        <v>67.7</v>
      </c>
      <c r="G27">
        <f>C27*G2/100</f>
        <v>2037720.5508000001</v>
      </c>
      <c r="H27">
        <f t="shared" si="1"/>
        <v>2187565.2546000001</v>
      </c>
      <c r="I27">
        <f t="shared" si="2"/>
        <v>2159305.0644</v>
      </c>
      <c r="K27" s="1">
        <v>376242549.09999996</v>
      </c>
      <c r="L27" s="1">
        <f t="shared" si="0"/>
        <v>3762425.4909999995</v>
      </c>
    </row>
    <row r="28" spans="1:12" x14ac:dyDescent="0.35">
      <c r="A28">
        <v>25</v>
      </c>
      <c r="B28">
        <v>157</v>
      </c>
      <c r="C28">
        <v>1.7</v>
      </c>
      <c r="D28">
        <v>6422</v>
      </c>
      <c r="E28">
        <v>69.400000000000006</v>
      </c>
      <c r="G28">
        <f>C28*G2/100</f>
        <v>5248674.1459999997</v>
      </c>
      <c r="H28">
        <f t="shared" si="1"/>
        <v>5634637.7769999988</v>
      </c>
      <c r="I28">
        <f t="shared" si="2"/>
        <v>5561846.3779999996</v>
      </c>
      <c r="K28" s="1">
        <v>556184637.79999995</v>
      </c>
      <c r="L28" s="1">
        <f t="shared" si="0"/>
        <v>5561846.3779999996</v>
      </c>
    </row>
    <row r="29" spans="1:12" x14ac:dyDescent="0.35">
      <c r="A29">
        <v>26</v>
      </c>
      <c r="B29">
        <v>161</v>
      </c>
      <c r="C29">
        <v>1.74</v>
      </c>
      <c r="D29">
        <v>6583</v>
      </c>
      <c r="E29">
        <v>71.14</v>
      </c>
      <c r="G29">
        <f>C29*G2/100</f>
        <v>5372172.3612000002</v>
      </c>
      <c r="H29">
        <f t="shared" si="1"/>
        <v>5767217.4893999994</v>
      </c>
      <c r="I29">
        <f t="shared" si="2"/>
        <v>5692713.3515999997</v>
      </c>
      <c r="K29" s="1">
        <v>569271335.15999997</v>
      </c>
      <c r="L29" s="1">
        <f t="shared" si="0"/>
        <v>5692713.3515999997</v>
      </c>
    </row>
    <row r="30" spans="1:12" x14ac:dyDescent="0.35">
      <c r="A30">
        <v>27</v>
      </c>
      <c r="B30">
        <v>148</v>
      </c>
      <c r="C30">
        <v>1.6</v>
      </c>
      <c r="D30">
        <v>6731</v>
      </c>
      <c r="E30">
        <v>72.739999999999995</v>
      </c>
      <c r="G30">
        <f>C30*G2/100</f>
        <v>4939928.608</v>
      </c>
      <c r="H30">
        <f t="shared" si="1"/>
        <v>5303188.4960000003</v>
      </c>
      <c r="I30">
        <f t="shared" si="2"/>
        <v>5234678.9440000001</v>
      </c>
      <c r="K30" s="1">
        <v>523467894.40000004</v>
      </c>
      <c r="L30" s="1">
        <f t="shared" si="0"/>
        <v>5234678.9440000001</v>
      </c>
    </row>
    <row r="31" spans="1:12" x14ac:dyDescent="0.35">
      <c r="A31">
        <v>28</v>
      </c>
      <c r="B31">
        <v>122</v>
      </c>
      <c r="C31">
        <v>1.32</v>
      </c>
      <c r="D31">
        <v>6853</v>
      </c>
      <c r="E31">
        <v>74.05</v>
      </c>
      <c r="G31">
        <f>C31*G2/100</f>
        <v>4075441.1016000002</v>
      </c>
      <c r="H31">
        <f t="shared" si="1"/>
        <v>4375130.5092000002</v>
      </c>
      <c r="I31">
        <f t="shared" si="2"/>
        <v>4318610.1288000001</v>
      </c>
      <c r="K31" s="1">
        <v>431861012.88</v>
      </c>
      <c r="L31" s="1">
        <f t="shared" si="0"/>
        <v>4318610.1288000001</v>
      </c>
    </row>
    <row r="32" spans="1:12" x14ac:dyDescent="0.35">
      <c r="A32">
        <v>29</v>
      </c>
      <c r="B32">
        <v>172</v>
      </c>
      <c r="C32">
        <v>1.86</v>
      </c>
      <c r="D32">
        <v>7025</v>
      </c>
      <c r="E32">
        <v>75.91</v>
      </c>
      <c r="G32">
        <f>C32*G2/100</f>
        <v>5742667.0068000006</v>
      </c>
      <c r="H32">
        <f t="shared" si="1"/>
        <v>6164956.626600001</v>
      </c>
      <c r="I32">
        <f t="shared" si="2"/>
        <v>6085314.2724000001</v>
      </c>
      <c r="K32" s="1">
        <v>608531427.24000001</v>
      </c>
      <c r="L32" s="1">
        <f t="shared" si="0"/>
        <v>6085314.2724000001</v>
      </c>
    </row>
    <row r="33" spans="1:12" x14ac:dyDescent="0.35">
      <c r="A33">
        <v>30</v>
      </c>
      <c r="B33">
        <v>142</v>
      </c>
      <c r="C33">
        <v>1.53</v>
      </c>
      <c r="D33">
        <v>7167</v>
      </c>
      <c r="E33">
        <v>77.45</v>
      </c>
      <c r="G33">
        <f>C33*G2/100</f>
        <v>4723806.7313999999</v>
      </c>
      <c r="H33">
        <f t="shared" si="1"/>
        <v>5071173.9993000003</v>
      </c>
      <c r="I33">
        <f t="shared" si="2"/>
        <v>5005661.7401999999</v>
      </c>
      <c r="K33" s="1">
        <v>500566174.01999998</v>
      </c>
      <c r="L33" s="1">
        <f t="shared" si="0"/>
        <v>5005661.7401999999</v>
      </c>
    </row>
    <row r="34" spans="1:12" x14ac:dyDescent="0.35">
      <c r="A34">
        <v>31</v>
      </c>
      <c r="B34">
        <v>137</v>
      </c>
      <c r="C34">
        <v>1.48</v>
      </c>
      <c r="D34">
        <v>7304</v>
      </c>
      <c r="E34">
        <v>78.930000000000007</v>
      </c>
      <c r="G34">
        <f>C34*G2/100</f>
        <v>4569433.9624000005</v>
      </c>
      <c r="H34">
        <f t="shared" si="1"/>
        <v>4905449.3587999996</v>
      </c>
      <c r="I34">
        <f t="shared" si="2"/>
        <v>4842078.0231999997</v>
      </c>
      <c r="K34" s="1">
        <v>484207802.31999999</v>
      </c>
      <c r="L34" s="1">
        <f t="shared" si="0"/>
        <v>4842078.0231999997</v>
      </c>
    </row>
    <row r="35" spans="1:12" x14ac:dyDescent="0.35">
      <c r="A35">
        <v>32</v>
      </c>
      <c r="B35">
        <v>100</v>
      </c>
      <c r="C35">
        <v>1.08</v>
      </c>
      <c r="D35">
        <v>7404</v>
      </c>
      <c r="E35">
        <v>80.010000000000005</v>
      </c>
      <c r="G35">
        <f>C35*G2/100</f>
        <v>3334451.8104000003</v>
      </c>
      <c r="H35">
        <f t="shared" si="1"/>
        <v>3579652.2348000002</v>
      </c>
      <c r="I35">
        <f t="shared" si="2"/>
        <v>3533408.2872000001</v>
      </c>
      <c r="K35" s="1">
        <v>353340828.72000003</v>
      </c>
      <c r="L35" s="1">
        <f t="shared" si="0"/>
        <v>3533408.2872000001</v>
      </c>
    </row>
    <row r="36" spans="1:12" x14ac:dyDescent="0.35">
      <c r="A36">
        <v>33</v>
      </c>
      <c r="B36">
        <v>148</v>
      </c>
      <c r="C36">
        <v>1.6</v>
      </c>
      <c r="D36">
        <v>7552</v>
      </c>
      <c r="E36">
        <v>81.61</v>
      </c>
      <c r="G36">
        <f>C36*G2/100</f>
        <v>4939928.608</v>
      </c>
      <c r="H36">
        <f t="shared" si="1"/>
        <v>5303188.4960000003</v>
      </c>
      <c r="I36">
        <f t="shared" si="2"/>
        <v>5234678.9440000001</v>
      </c>
      <c r="K36" s="1">
        <v>523467894.40000004</v>
      </c>
      <c r="L36" s="1">
        <f t="shared" si="0"/>
        <v>5234678.9440000001</v>
      </c>
    </row>
    <row r="37" spans="1:12" x14ac:dyDescent="0.35">
      <c r="A37">
        <v>34</v>
      </c>
      <c r="B37">
        <v>93</v>
      </c>
      <c r="C37">
        <v>1</v>
      </c>
      <c r="D37">
        <v>7645</v>
      </c>
      <c r="E37">
        <v>82.61</v>
      </c>
      <c r="G37">
        <f>C37*G2/100</f>
        <v>3087455.38</v>
      </c>
      <c r="H37">
        <f t="shared" si="1"/>
        <v>3314492.81</v>
      </c>
      <c r="I37">
        <f t="shared" si="2"/>
        <v>3271674.34</v>
      </c>
      <c r="K37" s="1">
        <v>327167434</v>
      </c>
      <c r="L37" s="1">
        <f t="shared" si="0"/>
        <v>3271674.34</v>
      </c>
    </row>
    <row r="38" spans="1:12" x14ac:dyDescent="0.35">
      <c r="A38">
        <v>35</v>
      </c>
      <c r="B38">
        <v>92</v>
      </c>
      <c r="C38">
        <v>0.99</v>
      </c>
      <c r="D38">
        <v>7737</v>
      </c>
      <c r="E38">
        <v>83.61</v>
      </c>
      <c r="G38">
        <f>C38*G2/100</f>
        <v>3056580.8262</v>
      </c>
      <c r="H38">
        <f t="shared" si="1"/>
        <v>3281347.8818999999</v>
      </c>
      <c r="I38">
        <f t="shared" si="2"/>
        <v>3238957.5966000003</v>
      </c>
      <c r="K38" s="1">
        <v>323895759.66000003</v>
      </c>
      <c r="L38" s="1">
        <f t="shared" si="0"/>
        <v>3238957.5966000003</v>
      </c>
    </row>
    <row r="39" spans="1:12" x14ac:dyDescent="0.35">
      <c r="A39">
        <v>36</v>
      </c>
      <c r="B39">
        <v>61</v>
      </c>
      <c r="C39">
        <v>0.66</v>
      </c>
      <c r="D39">
        <v>7798</v>
      </c>
      <c r="E39">
        <v>84.27</v>
      </c>
      <c r="G39">
        <f>C39*G2/100</f>
        <v>2037720.5508000001</v>
      </c>
      <c r="H39">
        <f t="shared" si="1"/>
        <v>2187565.2546000001</v>
      </c>
      <c r="I39">
        <f t="shared" si="2"/>
        <v>2159305.0644</v>
      </c>
      <c r="K39" s="1">
        <v>215930506.44</v>
      </c>
      <c r="L39" s="1">
        <f t="shared" si="0"/>
        <v>2159305.0644</v>
      </c>
    </row>
    <row r="40" spans="1:12" x14ac:dyDescent="0.35">
      <c r="A40">
        <v>37</v>
      </c>
      <c r="B40">
        <v>174</v>
      </c>
      <c r="C40">
        <v>1.88</v>
      </c>
      <c r="D40">
        <v>7972</v>
      </c>
      <c r="E40">
        <v>86.15</v>
      </c>
      <c r="G40">
        <f>C40*G2/100</f>
        <v>5804416.1143999994</v>
      </c>
      <c r="H40">
        <f t="shared" si="1"/>
        <v>6231246.4827999994</v>
      </c>
      <c r="I40">
        <f t="shared" si="2"/>
        <v>6150747.7591999993</v>
      </c>
      <c r="K40" s="1">
        <v>615074775.91999996</v>
      </c>
      <c r="L40" s="1">
        <f t="shared" si="0"/>
        <v>6150747.7591999993</v>
      </c>
    </row>
    <row r="41" spans="1:12" x14ac:dyDescent="0.35">
      <c r="A41">
        <v>38</v>
      </c>
      <c r="B41">
        <v>107</v>
      </c>
      <c r="C41">
        <v>1.1599999999999999</v>
      </c>
      <c r="D41">
        <v>8079</v>
      </c>
      <c r="E41">
        <v>87.3</v>
      </c>
      <c r="G41">
        <f>C41*G2/100</f>
        <v>3581448.2407999998</v>
      </c>
      <c r="H41">
        <f t="shared" si="1"/>
        <v>3844811.6595999999</v>
      </c>
      <c r="I41">
        <f t="shared" si="2"/>
        <v>3795142.2344</v>
      </c>
      <c r="K41" s="1">
        <v>379514223.44</v>
      </c>
      <c r="L41" s="1">
        <f t="shared" si="0"/>
        <v>3795142.2344</v>
      </c>
    </row>
    <row r="42" spans="1:12" x14ac:dyDescent="0.35">
      <c r="A42">
        <v>39</v>
      </c>
      <c r="B42">
        <v>82</v>
      </c>
      <c r="C42">
        <v>0.89</v>
      </c>
      <c r="D42">
        <v>8161</v>
      </c>
      <c r="E42">
        <v>88.19</v>
      </c>
      <c r="G42">
        <f>C42*G2/100</f>
        <v>2747835.2881999998</v>
      </c>
      <c r="H42">
        <f t="shared" si="1"/>
        <v>2949898.6009000004</v>
      </c>
      <c r="I42">
        <f t="shared" si="2"/>
        <v>2911790.1625999999</v>
      </c>
      <c r="K42" s="1">
        <v>291179016.25999999</v>
      </c>
      <c r="L42" s="1">
        <f t="shared" si="0"/>
        <v>2911790.1625999999</v>
      </c>
    </row>
    <row r="43" spans="1:12" x14ac:dyDescent="0.35">
      <c r="A43">
        <v>40</v>
      </c>
      <c r="B43">
        <v>62</v>
      </c>
      <c r="C43">
        <v>0.67</v>
      </c>
      <c r="D43">
        <v>8223</v>
      </c>
      <c r="E43">
        <v>88.86</v>
      </c>
      <c r="G43">
        <f>C43*G2/100</f>
        <v>2068595.1046000002</v>
      </c>
      <c r="H43">
        <f t="shared" si="1"/>
        <v>2220710.1827000002</v>
      </c>
      <c r="I43">
        <f t="shared" si="2"/>
        <v>2192021.8078000001</v>
      </c>
      <c r="K43" s="1">
        <v>219202180.78</v>
      </c>
      <c r="L43" s="1">
        <f t="shared" si="0"/>
        <v>2192021.8078000001</v>
      </c>
    </row>
    <row r="44" spans="1:12" x14ac:dyDescent="0.35">
      <c r="A44">
        <v>41</v>
      </c>
      <c r="B44">
        <v>204</v>
      </c>
      <c r="C44">
        <v>2.2000000000000002</v>
      </c>
      <c r="D44">
        <v>8427</v>
      </c>
      <c r="E44">
        <v>91.06</v>
      </c>
      <c r="G44">
        <f>C44*G2/100</f>
        <v>6792401.8360000001</v>
      </c>
      <c r="H44">
        <f t="shared" si="1"/>
        <v>7291884.182</v>
      </c>
      <c r="I44">
        <f t="shared" si="2"/>
        <v>7197683.5480000004</v>
      </c>
      <c r="K44" s="1">
        <v>719768354.80000007</v>
      </c>
      <c r="L44" s="1">
        <f t="shared" si="0"/>
        <v>7197683.5480000004</v>
      </c>
    </row>
    <row r="45" spans="1:12" x14ac:dyDescent="0.35">
      <c r="A45">
        <v>42</v>
      </c>
      <c r="B45">
        <v>68</v>
      </c>
      <c r="C45">
        <v>0.73</v>
      </c>
      <c r="D45">
        <v>8495</v>
      </c>
      <c r="E45">
        <v>91.8</v>
      </c>
      <c r="G45">
        <f>C45*G2/100</f>
        <v>2253842.4273999999</v>
      </c>
      <c r="H45">
        <f t="shared" si="1"/>
        <v>2419579.7513000001</v>
      </c>
      <c r="I45">
        <f t="shared" si="2"/>
        <v>2388322.2681999998</v>
      </c>
      <c r="K45" s="1">
        <v>238832226.81999999</v>
      </c>
      <c r="L45" s="1">
        <f t="shared" si="0"/>
        <v>2388322.2681999998</v>
      </c>
    </row>
    <row r="46" spans="1:12" x14ac:dyDescent="0.35">
      <c r="A46">
        <v>43</v>
      </c>
      <c r="B46">
        <v>36</v>
      </c>
      <c r="C46">
        <v>0.39</v>
      </c>
      <c r="D46">
        <v>8531</v>
      </c>
      <c r="E46">
        <v>92.19</v>
      </c>
      <c r="G46">
        <f>C46*G2/100</f>
        <v>1204107.5982000001</v>
      </c>
      <c r="H46">
        <f t="shared" si="1"/>
        <v>1292652.1958999999</v>
      </c>
      <c r="I46">
        <f t="shared" si="2"/>
        <v>1275952.9926</v>
      </c>
      <c r="K46" s="1">
        <v>127595299.26000001</v>
      </c>
      <c r="L46" s="1">
        <f t="shared" si="0"/>
        <v>1275952.9926</v>
      </c>
    </row>
    <row r="47" spans="1:12" x14ac:dyDescent="0.35">
      <c r="A47">
        <v>44</v>
      </c>
      <c r="B47">
        <v>39</v>
      </c>
      <c r="C47">
        <v>0.42</v>
      </c>
      <c r="D47">
        <v>8570</v>
      </c>
      <c r="E47">
        <v>92.61</v>
      </c>
      <c r="G47">
        <f>C47*G2/100</f>
        <v>1296731.2596</v>
      </c>
      <c r="H47">
        <f>C47*$H$2/100</f>
        <v>1392086.9801999999</v>
      </c>
      <c r="I47">
        <f t="shared" si="2"/>
        <v>1374103.2228000001</v>
      </c>
      <c r="K47" s="1">
        <v>137410322.28</v>
      </c>
      <c r="L47" s="1">
        <f t="shared" si="0"/>
        <v>1374103.2228000001</v>
      </c>
    </row>
    <row r="48" spans="1:12" x14ac:dyDescent="0.35">
      <c r="A48">
        <v>45</v>
      </c>
      <c r="B48">
        <v>215</v>
      </c>
      <c r="C48">
        <v>2.3199999999999998</v>
      </c>
      <c r="D48">
        <v>8785</v>
      </c>
      <c r="E48">
        <v>94.93</v>
      </c>
      <c r="G48">
        <f>C48*G2/100</f>
        <v>7162896.4815999996</v>
      </c>
      <c r="H48">
        <f t="shared" si="1"/>
        <v>7689623.3191999998</v>
      </c>
      <c r="I48">
        <f t="shared" si="2"/>
        <v>7590284.4687999999</v>
      </c>
      <c r="K48" s="1">
        <v>759028446.88</v>
      </c>
      <c r="L48" s="1">
        <f t="shared" si="0"/>
        <v>7590284.4687999999</v>
      </c>
    </row>
    <row r="49" spans="1:12" x14ac:dyDescent="0.35">
      <c r="A49">
        <v>46</v>
      </c>
      <c r="B49">
        <v>57</v>
      </c>
      <c r="C49">
        <v>0.62</v>
      </c>
      <c r="D49">
        <v>8842</v>
      </c>
      <c r="E49">
        <v>95.55</v>
      </c>
      <c r="G49">
        <f>C49*G2/100</f>
        <v>1914222.3356000001</v>
      </c>
      <c r="H49">
        <f t="shared" si="1"/>
        <v>2054985.5422</v>
      </c>
      <c r="I49">
        <f t="shared" si="2"/>
        <v>2028438.0908000001</v>
      </c>
      <c r="K49" s="1">
        <v>202843809.08000001</v>
      </c>
      <c r="L49" s="1">
        <f t="shared" si="0"/>
        <v>2028438.0908000001</v>
      </c>
    </row>
    <row r="50" spans="1:12" x14ac:dyDescent="0.35">
      <c r="A50">
        <v>47</v>
      </c>
      <c r="B50">
        <v>30</v>
      </c>
      <c r="C50">
        <v>0.32</v>
      </c>
      <c r="D50">
        <v>8872</v>
      </c>
      <c r="E50">
        <v>95.87</v>
      </c>
      <c r="G50">
        <f>C50*G2/100</f>
        <v>987985.72159999993</v>
      </c>
      <c r="H50">
        <f t="shared" si="1"/>
        <v>1060637.6991999999</v>
      </c>
      <c r="I50">
        <f t="shared" si="2"/>
        <v>1046935.7888</v>
      </c>
      <c r="K50" s="1">
        <v>104693578.88</v>
      </c>
      <c r="L50" s="1">
        <f t="shared" si="0"/>
        <v>1046935.7888</v>
      </c>
    </row>
    <row r="51" spans="1:12" x14ac:dyDescent="0.35">
      <c r="A51">
        <v>48</v>
      </c>
      <c r="B51">
        <v>32</v>
      </c>
      <c r="C51">
        <v>0.35</v>
      </c>
      <c r="D51">
        <v>8904</v>
      </c>
      <c r="E51">
        <v>96.22</v>
      </c>
      <c r="G51">
        <f>C51*G2/100</f>
        <v>1080609.3829999999</v>
      </c>
      <c r="H51">
        <f t="shared" si="1"/>
        <v>1160072.4834999999</v>
      </c>
      <c r="I51">
        <f t="shared" si="2"/>
        <v>1145086.0189999999</v>
      </c>
      <c r="K51" s="1">
        <v>114508601.89999999</v>
      </c>
      <c r="L51" s="1">
        <f t="shared" si="0"/>
        <v>1145086.0189999999</v>
      </c>
    </row>
    <row r="52" spans="1:12" x14ac:dyDescent="0.35">
      <c r="A52">
        <v>49</v>
      </c>
      <c r="B52">
        <v>50</v>
      </c>
      <c r="C52">
        <v>0.54</v>
      </c>
      <c r="D52">
        <v>8954</v>
      </c>
      <c r="E52">
        <v>96.76</v>
      </c>
      <c r="G52">
        <f>C52*G2/100</f>
        <v>1667225.9052000002</v>
      </c>
      <c r="H52">
        <f>C52*H2/100</f>
        <v>1789826.1174000001</v>
      </c>
      <c r="I52">
        <f t="shared" si="2"/>
        <v>1766704.1436000001</v>
      </c>
      <c r="J52" t="s">
        <v>6</v>
      </c>
    </row>
    <row r="53" spans="1:12" x14ac:dyDescent="0.35">
      <c r="A53">
        <v>50</v>
      </c>
      <c r="B53">
        <v>42</v>
      </c>
      <c r="C53">
        <v>0.45</v>
      </c>
      <c r="D53">
        <v>8996</v>
      </c>
      <c r="E53">
        <v>97.21</v>
      </c>
      <c r="G53">
        <f>C53*G2/100</f>
        <v>1389354.9209999999</v>
      </c>
      <c r="H53">
        <f>C53*H2/100</f>
        <v>1491521.7645000003</v>
      </c>
      <c r="I53">
        <f t="shared" si="2"/>
        <v>1472253.4530000002</v>
      </c>
      <c r="J53" t="s">
        <v>7</v>
      </c>
    </row>
    <row r="54" spans="1:12" x14ac:dyDescent="0.35">
      <c r="A54">
        <v>51</v>
      </c>
      <c r="B54">
        <v>50</v>
      </c>
      <c r="C54">
        <v>0.54</v>
      </c>
      <c r="D54">
        <v>9046</v>
      </c>
      <c r="E54">
        <v>97.75</v>
      </c>
      <c r="G54">
        <f>C54*G2/100</f>
        <v>1667225.9052000002</v>
      </c>
      <c r="H54">
        <f>C54*H2/100</f>
        <v>1789826.1174000001</v>
      </c>
      <c r="I54">
        <f t="shared" si="2"/>
        <v>1766704.1436000001</v>
      </c>
      <c r="J54" t="s">
        <v>10</v>
      </c>
    </row>
    <row r="55" spans="1:12" x14ac:dyDescent="0.35">
      <c r="A55">
        <v>52</v>
      </c>
      <c r="B55">
        <v>40</v>
      </c>
      <c r="C55">
        <v>0.43</v>
      </c>
      <c r="D55">
        <v>9086</v>
      </c>
      <c r="E55">
        <v>98.18</v>
      </c>
      <c r="G55">
        <f>C55*G2/100</f>
        <v>1327605.8134000001</v>
      </c>
      <c r="H55">
        <f>C55*H2/100</f>
        <v>1425231.9082999998</v>
      </c>
      <c r="I55">
        <f t="shared" si="2"/>
        <v>1406819.9662000001</v>
      </c>
      <c r="J55" t="s">
        <v>8</v>
      </c>
    </row>
    <row r="56" spans="1:12" x14ac:dyDescent="0.35">
      <c r="A56">
        <v>53</v>
      </c>
      <c r="B56">
        <v>40</v>
      </c>
      <c r="C56">
        <v>0.43</v>
      </c>
      <c r="D56">
        <v>9126</v>
      </c>
      <c r="E56">
        <v>98.62</v>
      </c>
      <c r="G56">
        <f>C56*G2/100</f>
        <v>1327605.8134000001</v>
      </c>
      <c r="H56">
        <f>C56*H2/100</f>
        <v>1425231.9082999998</v>
      </c>
      <c r="I56">
        <f t="shared" si="2"/>
        <v>1406819.9662000001</v>
      </c>
      <c r="J56" t="s">
        <v>11</v>
      </c>
    </row>
    <row r="57" spans="1:12" x14ac:dyDescent="0.35">
      <c r="A57">
        <v>54</v>
      </c>
      <c r="B57">
        <v>40</v>
      </c>
      <c r="C57">
        <v>0.43</v>
      </c>
      <c r="D57">
        <v>9166</v>
      </c>
      <c r="E57">
        <v>99.05</v>
      </c>
      <c r="G57">
        <f>C57*G2/100</f>
        <v>1327605.8134000001</v>
      </c>
      <c r="H57">
        <f>C57*H2/100</f>
        <v>1425231.9082999998</v>
      </c>
      <c r="I57">
        <f t="shared" si="2"/>
        <v>1406819.9662000001</v>
      </c>
      <c r="J57" t="s">
        <v>12</v>
      </c>
    </row>
    <row r="58" spans="1:12" x14ac:dyDescent="0.35">
      <c r="A58">
        <v>55</v>
      </c>
      <c r="B58">
        <v>43</v>
      </c>
      <c r="C58">
        <v>0.46</v>
      </c>
      <c r="D58">
        <v>9209</v>
      </c>
      <c r="E58">
        <v>99.51</v>
      </c>
      <c r="G58">
        <f>C58*G2/100</f>
        <v>1420229.4748000002</v>
      </c>
      <c r="H58">
        <f>C58*H2/100</f>
        <v>1524666.6926000002</v>
      </c>
      <c r="I58">
        <f t="shared" si="2"/>
        <v>1504970.1964000002</v>
      </c>
      <c r="J58" t="s">
        <v>13</v>
      </c>
    </row>
    <row r="59" spans="1:12" x14ac:dyDescent="0.35">
      <c r="A59">
        <v>56</v>
      </c>
      <c r="B59">
        <v>45</v>
      </c>
      <c r="C59">
        <v>0.49</v>
      </c>
      <c r="D59">
        <v>9254</v>
      </c>
      <c r="E59">
        <v>100</v>
      </c>
      <c r="G59">
        <f>C59*G2/100</f>
        <v>1512853.1362000001</v>
      </c>
      <c r="H59">
        <f>C59*H2/100</f>
        <v>1624101.4768999999</v>
      </c>
      <c r="I59">
        <f t="shared" si="2"/>
        <v>1603120.4265999999</v>
      </c>
      <c r="J59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NHANES17</vt:lpstr>
      <vt:lpstr>NHANES17!ExternalData_1</vt:lpstr>
    </vt:vector>
  </TitlesOfParts>
  <Company>Tufts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Zhengye</dc:creator>
  <cp:lastModifiedBy>Gu, Zhengye</cp:lastModifiedBy>
  <dcterms:created xsi:type="dcterms:W3CDTF">2022-11-21T20:03:32Z</dcterms:created>
  <dcterms:modified xsi:type="dcterms:W3CDTF">2023-02-07T15:53:16Z</dcterms:modified>
</cp:coreProperties>
</file>