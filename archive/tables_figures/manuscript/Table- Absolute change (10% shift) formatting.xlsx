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final/tables_figures/manuscript/"/>
    </mc:Choice>
  </mc:AlternateContent>
  <xr:revisionPtr revIDLastSave="0" documentId="8_{45088ECF-845E-3E47-ACD3-17C0B2AB4516}" xr6:coauthVersionLast="47" xr6:coauthVersionMax="47" xr10:uidLastSave="{00000000-0000-0000-0000-000000000000}"/>
  <bookViews>
    <workbookView xWindow="0" yWindow="0" windowWidth="35840" windowHeight="22400" activeTab="1"/>
  </bookViews>
  <sheets>
    <sheet name="Table- Absolute change (10% shi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P7" i="2" l="1"/>
  <c r="P8" i="2"/>
  <c r="P9" i="2"/>
  <c r="P10" i="2"/>
  <c r="P11" i="2"/>
  <c r="P6" i="2"/>
  <c r="P5" i="2"/>
  <c r="P4" i="2"/>
  <c r="L4" i="2"/>
  <c r="L7" i="2"/>
  <c r="L8" i="2"/>
  <c r="L9" i="2"/>
  <c r="L10" i="2"/>
  <c r="L11" i="2"/>
  <c r="L6" i="2"/>
  <c r="L5" i="2"/>
  <c r="H4" i="2"/>
  <c r="H7" i="2"/>
  <c r="H8" i="2"/>
  <c r="H9" i="2"/>
  <c r="H10" i="2"/>
  <c r="H11" i="2"/>
  <c r="H6" i="2"/>
  <c r="H5" i="2"/>
  <c r="D4" i="2"/>
  <c r="D7" i="2"/>
  <c r="D8" i="2"/>
  <c r="D9" i="2"/>
  <c r="D10" i="2"/>
  <c r="D11" i="2"/>
  <c r="D6" i="2"/>
  <c r="D5" i="2"/>
  <c r="E16" i="1"/>
  <c r="F16" i="1"/>
  <c r="G16" i="1"/>
  <c r="H16" i="1"/>
  <c r="I16" i="1"/>
  <c r="J16" i="1"/>
  <c r="K16" i="1"/>
  <c r="L16" i="1"/>
  <c r="M16" i="1"/>
  <c r="N16" i="1"/>
  <c r="O16" i="1"/>
  <c r="D16" i="1"/>
  <c r="E14" i="1"/>
  <c r="F14" i="1"/>
  <c r="G14" i="1"/>
  <c r="H14" i="1"/>
  <c r="I14" i="1"/>
  <c r="J14" i="1"/>
  <c r="K14" i="1"/>
  <c r="L14" i="1"/>
  <c r="M14" i="1"/>
  <c r="N14" i="1"/>
  <c r="O14" i="1"/>
  <c r="D14" i="1"/>
  <c r="E12" i="1"/>
  <c r="F12" i="1"/>
  <c r="G12" i="1"/>
  <c r="H12" i="1"/>
  <c r="I12" i="1"/>
  <c r="J12" i="1"/>
  <c r="K12" i="1"/>
  <c r="L12" i="1"/>
  <c r="M12" i="1"/>
  <c r="N12" i="1"/>
  <c r="O12" i="1"/>
  <c r="D12" i="1"/>
  <c r="E8" i="1"/>
  <c r="F8" i="1"/>
  <c r="G8" i="1"/>
  <c r="H8" i="1"/>
  <c r="I8" i="1"/>
  <c r="J8" i="1"/>
  <c r="K8" i="1"/>
  <c r="L8" i="1"/>
  <c r="M8" i="1"/>
  <c r="N8" i="1"/>
  <c r="O8" i="1"/>
  <c r="D8" i="1"/>
  <c r="E10" i="1"/>
  <c r="F10" i="1"/>
  <c r="G10" i="1"/>
  <c r="H10" i="1"/>
  <c r="I10" i="1"/>
  <c r="J10" i="1"/>
  <c r="K10" i="1"/>
  <c r="L10" i="1"/>
  <c r="M10" i="1"/>
  <c r="N10" i="1"/>
  <c r="O10" i="1"/>
  <c r="D10" i="1"/>
  <c r="E6" i="1"/>
  <c r="F6" i="1"/>
  <c r="G6" i="1"/>
  <c r="H6" i="1"/>
  <c r="I6" i="1"/>
  <c r="J6" i="1"/>
  <c r="K6" i="1"/>
  <c r="L6" i="1"/>
  <c r="M6" i="1"/>
  <c r="N6" i="1"/>
  <c r="O6" i="1"/>
  <c r="D6" i="1"/>
</calcChain>
</file>

<file path=xl/sharedStrings.xml><?xml version="1.0" encoding="utf-8"?>
<sst xmlns="http://schemas.openxmlformats.org/spreadsheetml/2006/main" count="89" uniqueCount="47">
  <si>
    <t>MED</t>
  </si>
  <si>
    <t>HUS</t>
  </si>
  <si>
    <t>VEG</t>
  </si>
  <si>
    <t>VEGN</t>
  </si>
  <si>
    <t>Dietary Pattern</t>
  </si>
  <si>
    <t>Pillar</t>
  </si>
  <si>
    <t>Outcome</t>
  </si>
  <si>
    <t>Health</t>
  </si>
  <si>
    <t>Economic</t>
  </si>
  <si>
    <t>Environment</t>
  </si>
  <si>
    <t>Social</t>
  </si>
  <si>
    <t>Outcome Unit</t>
  </si>
  <si>
    <t>Cases/year</t>
  </si>
  <si>
    <t>Deaths/year</t>
  </si>
  <si>
    <t>MJ/year</t>
  </si>
  <si>
    <t>USD/year</t>
  </si>
  <si>
    <t>L/year</t>
  </si>
  <si>
    <t>kgCO2-eq/year</t>
  </si>
  <si>
    <t>L-eq/year</t>
  </si>
  <si>
    <t>mrh-eq/year</t>
  </si>
  <si>
    <t>Cancer</t>
  </si>
  <si>
    <t>Cardiovascular disease</t>
  </si>
  <si>
    <t>Food price</t>
  </si>
  <si>
    <t>Bluewater use</t>
  </si>
  <si>
    <t>Cumulative energy demand</t>
  </si>
  <si>
    <t>Greenhouse gas emissions</t>
  </si>
  <si>
    <t>Water scarcity</t>
  </si>
  <si>
    <t>Forced labor risk</t>
  </si>
  <si>
    <t>MED LB</t>
  </si>
  <si>
    <t>MED UB</t>
  </si>
  <si>
    <t>HUS LB</t>
  </si>
  <si>
    <t>HUS UB</t>
  </si>
  <si>
    <t>VEG LB</t>
  </si>
  <si>
    <t>VEG UB</t>
  </si>
  <si>
    <t>VEGN LB</t>
  </si>
  <si>
    <t>VEGN UB</t>
  </si>
  <si>
    <t>billion USD/year</t>
  </si>
  <si>
    <t>billion MJ/year</t>
  </si>
  <si>
    <t>billion L/year</t>
  </si>
  <si>
    <t>billion L-eq/year</t>
  </si>
  <si>
    <t>billion mrh-eq/year</t>
  </si>
  <si>
    <t>MED MID</t>
  </si>
  <si>
    <t>HUS MID</t>
  </si>
  <si>
    <t>VEG MID</t>
  </si>
  <si>
    <t>VEGN MID</t>
  </si>
  <si>
    <t>Median (95% UI)</t>
  </si>
  <si>
    <t>million MtCO2-eq/year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</si>
</sst>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5" formatCode="0.0"/>
    <numFmt numFmtId="168" formatCode="_(* #,##0.0_);_(* \(#,##0.0\);_(* &quot;-&quot;??_);_(@_)"/>
    <numFmt numFmtId="169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top"/>
    </xf>
    <xf numFmtId="0" fontId="18" fillId="0" borderId="0" xfId="0" applyFont="1"/>
    <xf numFmtId="2" fontId="0" fillId="0" borderId="0" xfId="0" applyNumberFormat="1"/>
    <xf numFmtId="165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0" fontId="18" fillId="0" borderId="0" xfId="0" applyFont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18" fillId="0" borderId="0" xfId="0" applyFont="1" applyBorder="1" applyAlignment="1">
      <alignment horizontal="center" vertical="top"/>
    </xf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horizontal="center" vertical="top"/>
    </xf>
    <xf numFmtId="0" fontId="18" fillId="0" borderId="0" xfId="0" applyFont="1" applyBorder="1" applyAlignment="1">
      <alignment vertical="top"/>
    </xf>
    <xf numFmtId="0" fontId="18" fillId="33" borderId="11" xfId="0" applyFont="1" applyFill="1" applyBorder="1" applyAlignment="1">
      <alignment vertical="top"/>
    </xf>
    <xf numFmtId="0" fontId="19" fillId="33" borderId="11" xfId="0" applyFont="1" applyFill="1" applyBorder="1" applyAlignment="1">
      <alignment horizontal="center" vertical="top"/>
    </xf>
    <xf numFmtId="43" fontId="0" fillId="0" borderId="0" xfId="1" applyFont="1" applyBorder="1" applyAlignment="1">
      <alignment horizontal="center" vertical="top"/>
    </xf>
    <xf numFmtId="169" fontId="0" fillId="0" borderId="0" xfId="1" applyNumberFormat="1" applyFont="1" applyBorder="1" applyAlignment="1">
      <alignment horizontal="center" vertical="top"/>
    </xf>
    <xf numFmtId="169" fontId="0" fillId="0" borderId="0" xfId="1" applyNumberFormat="1" applyFont="1" applyBorder="1" applyAlignment="1">
      <alignment vertical="top"/>
    </xf>
    <xf numFmtId="0" fontId="0" fillId="33" borderId="0" xfId="0" applyFill="1" applyBorder="1" applyAlignment="1">
      <alignment vertical="top"/>
    </xf>
    <xf numFmtId="43" fontId="0" fillId="33" borderId="0" xfId="1" applyFont="1" applyFill="1" applyBorder="1" applyAlignment="1">
      <alignment horizontal="center" vertical="top"/>
    </xf>
    <xf numFmtId="169" fontId="0" fillId="33" borderId="0" xfId="1" applyNumberFormat="1" applyFont="1" applyFill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  <xf numFmtId="165" fontId="0" fillId="0" borderId="0" xfId="0" applyNumberFormat="1" applyBorder="1" applyAlignment="1">
      <alignment vertical="top"/>
    </xf>
    <xf numFmtId="165" fontId="0" fillId="33" borderId="0" xfId="0" applyNumberFormat="1" applyFill="1" applyBorder="1" applyAlignment="1">
      <alignment horizontal="center" vertical="top"/>
    </xf>
    <xf numFmtId="168" fontId="0" fillId="0" borderId="0" xfId="1" applyNumberFormat="1" applyFont="1" applyBorder="1" applyAlignment="1">
      <alignment horizontal="center" vertical="top"/>
    </xf>
    <xf numFmtId="168" fontId="0" fillId="0" borderId="0" xfId="1" applyNumberFormat="1" applyFont="1" applyBorder="1" applyAlignment="1">
      <alignment vertical="top"/>
    </xf>
    <xf numFmtId="0" fontId="0" fillId="33" borderId="10" xfId="0" applyFill="1" applyBorder="1" applyAlignment="1">
      <alignment vertical="top"/>
    </xf>
    <xf numFmtId="43" fontId="0" fillId="33" borderId="10" xfId="1" applyFont="1" applyFill="1" applyBorder="1" applyAlignment="1">
      <alignment horizontal="center" vertical="top"/>
    </xf>
    <xf numFmtId="165" fontId="0" fillId="33" borderId="10" xfId="0" applyNumberFormat="1" applyFill="1" applyBorder="1" applyAlignment="1">
      <alignment horizontal="center" vertical="top"/>
    </xf>
    <xf numFmtId="169" fontId="0" fillId="33" borderId="10" xfId="1" applyNumberFormat="1" applyFont="1" applyFill="1" applyBorder="1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="139" workbookViewId="0">
      <selection activeCell="C14" sqref="C14"/>
    </sheetView>
  </sheetViews>
  <sheetFormatPr baseColWidth="10" defaultRowHeight="16" x14ac:dyDescent="0.2"/>
  <cols>
    <col min="1" max="1" width="11.33203125" bestFit="1" customWidth="1"/>
    <col min="2" max="2" width="23.5" bestFit="1" customWidth="1"/>
    <col min="3" max="3" width="19.33203125" bestFit="1" customWidth="1"/>
    <col min="4" max="4" width="24.83203125" bestFit="1" customWidth="1"/>
    <col min="5" max="5" width="20.83203125" bestFit="1" customWidth="1"/>
    <col min="6" max="6" width="21.1640625" bestFit="1" customWidth="1"/>
    <col min="7" max="7" width="23.6640625" bestFit="1" customWidth="1"/>
    <col min="8" max="8" width="19.6640625" bestFit="1" customWidth="1"/>
    <col min="9" max="9" width="20" bestFit="1" customWidth="1"/>
    <col min="10" max="10" width="24.33203125" bestFit="1" customWidth="1"/>
    <col min="11" max="11" width="20.33203125" bestFit="1" customWidth="1"/>
    <col min="12" max="12" width="20.5" bestFit="1" customWidth="1"/>
    <col min="13" max="13" width="26.33203125" bestFit="1" customWidth="1"/>
    <col min="14" max="14" width="22.33203125" bestFit="1" customWidth="1"/>
    <col min="15" max="15" width="22.6640625" bestFit="1" customWidth="1"/>
  </cols>
  <sheetData>
    <row r="1" spans="1:15" x14ac:dyDescent="0.2">
      <c r="D1" s="7" t="s">
        <v>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s="2" customFormat="1" x14ac:dyDescent="0.2">
      <c r="A2" s="2" t="s">
        <v>5</v>
      </c>
      <c r="B2" s="2" t="s">
        <v>6</v>
      </c>
      <c r="C2" s="2" t="s">
        <v>11</v>
      </c>
      <c r="D2" s="2" t="s">
        <v>0</v>
      </c>
      <c r="E2" s="2" t="s">
        <v>28</v>
      </c>
      <c r="F2" s="2" t="s">
        <v>29</v>
      </c>
      <c r="G2" s="2" t="s">
        <v>1</v>
      </c>
      <c r="H2" s="2" t="s">
        <v>30</v>
      </c>
      <c r="I2" s="2" t="s">
        <v>31</v>
      </c>
      <c r="J2" s="2" t="s">
        <v>2</v>
      </c>
      <c r="K2" s="2" t="s">
        <v>32</v>
      </c>
      <c r="L2" s="2" t="s">
        <v>33</v>
      </c>
      <c r="M2" s="2" t="s">
        <v>3</v>
      </c>
      <c r="N2" s="2" t="s">
        <v>34</v>
      </c>
      <c r="O2" s="2" t="s">
        <v>35</v>
      </c>
    </row>
    <row r="3" spans="1:15" x14ac:dyDescent="0.2">
      <c r="A3" s="1" t="s">
        <v>7</v>
      </c>
      <c r="B3" t="s">
        <v>20</v>
      </c>
      <c r="C3" t="s">
        <v>12</v>
      </c>
      <c r="D3" s="6">
        <v>5442.5416233756496</v>
      </c>
      <c r="E3" s="6">
        <v>4736.2798213113601</v>
      </c>
      <c r="F3" s="6">
        <v>6186.9955466404599</v>
      </c>
      <c r="G3" s="6">
        <v>5828.0075684409103</v>
      </c>
      <c r="H3" s="6">
        <v>5134.77879241766</v>
      </c>
      <c r="I3" s="6">
        <v>6558.0413427224403</v>
      </c>
      <c r="J3" s="6">
        <v>8650.9039190692201</v>
      </c>
      <c r="K3" s="6">
        <v>7649.2961010199497</v>
      </c>
      <c r="L3" s="6">
        <v>9698.0609847112501</v>
      </c>
      <c r="M3" s="6">
        <v>7574.9151452329797</v>
      </c>
      <c r="N3" s="6">
        <v>6654.5818162413498</v>
      </c>
      <c r="O3" s="6">
        <v>8547.0577562298095</v>
      </c>
    </row>
    <row r="4" spans="1:15" x14ac:dyDescent="0.2">
      <c r="A4" s="1"/>
      <c r="B4" t="s">
        <v>21</v>
      </c>
      <c r="C4" t="s">
        <v>13</v>
      </c>
      <c r="D4" s="6">
        <v>23568.030313747699</v>
      </c>
      <c r="E4" s="6">
        <v>20485.120938627999</v>
      </c>
      <c r="F4" s="6">
        <v>26913.746313880401</v>
      </c>
      <c r="G4" s="6">
        <v>20992.331621043599</v>
      </c>
      <c r="H4" s="6">
        <v>18148.504802196101</v>
      </c>
      <c r="I4" s="6">
        <v>24067.342284585899</v>
      </c>
      <c r="J4" s="6">
        <v>34412.999195613498</v>
      </c>
      <c r="K4" s="6">
        <v>30367.719103956599</v>
      </c>
      <c r="L4" s="6">
        <v>38564.192133136501</v>
      </c>
      <c r="M4" s="6">
        <v>34412.993210762099</v>
      </c>
      <c r="N4" s="6">
        <v>30367.7173106519</v>
      </c>
      <c r="O4" s="6">
        <v>38564.189389634703</v>
      </c>
    </row>
    <row r="5" spans="1:15" hidden="1" x14ac:dyDescent="0.2">
      <c r="A5" s="1" t="s">
        <v>8</v>
      </c>
      <c r="B5" t="s">
        <v>22</v>
      </c>
      <c r="C5" t="s">
        <v>15</v>
      </c>
      <c r="D5" s="3">
        <v>42075052917.080299</v>
      </c>
      <c r="E5" s="3">
        <v>40320398675.687401</v>
      </c>
      <c r="F5" s="3">
        <v>43861982388.9767</v>
      </c>
      <c r="G5" s="3">
        <v>17027125936.753901</v>
      </c>
      <c r="H5" s="3">
        <v>15377856331.757799</v>
      </c>
      <c r="I5" s="3">
        <v>18819758950.145802</v>
      </c>
      <c r="J5" s="3">
        <v>-41399503241.8293</v>
      </c>
      <c r="K5" s="3">
        <v>-43026403862.048698</v>
      </c>
      <c r="L5" s="3">
        <v>-39703045142.375298</v>
      </c>
      <c r="M5" s="3">
        <v>-59280480307.638496</v>
      </c>
      <c r="N5" s="3">
        <v>-60926529179.139</v>
      </c>
      <c r="O5" s="3">
        <v>-57661291389.057701</v>
      </c>
    </row>
    <row r="6" spans="1:15" x14ac:dyDescent="0.2">
      <c r="A6" s="1"/>
      <c r="B6" t="s">
        <v>22</v>
      </c>
      <c r="C6" t="s">
        <v>36</v>
      </c>
      <c r="D6" s="4">
        <f>D5/1000000000</f>
        <v>42.075052917080299</v>
      </c>
      <c r="E6" s="4">
        <f t="shared" ref="E6:O6" si="0">E5/1000000000</f>
        <v>40.3203986756874</v>
      </c>
      <c r="F6" s="4">
        <f t="shared" si="0"/>
        <v>43.861982388976699</v>
      </c>
      <c r="G6" s="4">
        <f t="shared" si="0"/>
        <v>17.027125936753901</v>
      </c>
      <c r="H6" s="4">
        <f t="shared" si="0"/>
        <v>15.377856331757799</v>
      </c>
      <c r="I6" s="4">
        <f t="shared" si="0"/>
        <v>18.8197589501458</v>
      </c>
      <c r="J6" s="4">
        <f t="shared" si="0"/>
        <v>-41.399503241829301</v>
      </c>
      <c r="K6" s="4">
        <f t="shared" si="0"/>
        <v>-43.026403862048696</v>
      </c>
      <c r="L6" s="4">
        <f t="shared" si="0"/>
        <v>-39.703045142375295</v>
      </c>
      <c r="M6" s="4">
        <f t="shared" si="0"/>
        <v>-59.280480307638499</v>
      </c>
      <c r="N6" s="4">
        <f t="shared" si="0"/>
        <v>-60.926529179139003</v>
      </c>
      <c r="O6" s="4">
        <f t="shared" si="0"/>
        <v>-57.661291389057702</v>
      </c>
    </row>
    <row r="7" spans="1:15" ht="16" hidden="1" customHeight="1" x14ac:dyDescent="0.2">
      <c r="A7" s="1" t="s">
        <v>9</v>
      </c>
      <c r="B7" t="s">
        <v>23</v>
      </c>
      <c r="C7" t="s">
        <v>16</v>
      </c>
      <c r="D7" s="3">
        <v>810155566081.21594</v>
      </c>
      <c r="E7" s="3">
        <v>767175878717.10596</v>
      </c>
      <c r="F7" s="3">
        <v>854875066059.56006</v>
      </c>
      <c r="G7" s="3">
        <v>652887685060.81104</v>
      </c>
      <c r="H7" s="3">
        <v>605141313537.69897</v>
      </c>
      <c r="I7" s="3">
        <v>694706527469.11694</v>
      </c>
      <c r="J7" s="3">
        <v>-84966124409.579193</v>
      </c>
      <c r="K7" s="3">
        <v>-129000772133.65199</v>
      </c>
      <c r="L7" s="3">
        <v>-40561384492.169701</v>
      </c>
      <c r="M7" s="3">
        <v>-646841784144.04797</v>
      </c>
      <c r="N7" s="3">
        <v>-690802147626.76404</v>
      </c>
      <c r="O7" s="3">
        <v>-602255397039.37195</v>
      </c>
    </row>
    <row r="8" spans="1:15" x14ac:dyDescent="0.2">
      <c r="A8" s="1"/>
      <c r="B8" t="s">
        <v>23</v>
      </c>
      <c r="C8" t="s">
        <v>38</v>
      </c>
      <c r="D8" s="4">
        <f>D7/1000000000</f>
        <v>810.15556608121597</v>
      </c>
      <c r="E8" s="4">
        <f t="shared" ref="E8:O8" si="1">E7/1000000000</f>
        <v>767.175878717106</v>
      </c>
      <c r="F8" s="4">
        <f t="shared" si="1"/>
        <v>854.87506605956003</v>
      </c>
      <c r="G8" s="4">
        <f t="shared" si="1"/>
        <v>652.88768506081101</v>
      </c>
      <c r="H8" s="4">
        <f t="shared" si="1"/>
        <v>605.14131353769892</v>
      </c>
      <c r="I8" s="4">
        <f t="shared" si="1"/>
        <v>694.70652746911696</v>
      </c>
      <c r="J8" s="4">
        <f t="shared" si="1"/>
        <v>-84.966124409579194</v>
      </c>
      <c r="K8" s="4">
        <f t="shared" si="1"/>
        <v>-129.00077213365199</v>
      </c>
      <c r="L8" s="4">
        <f t="shared" si="1"/>
        <v>-40.561384492169701</v>
      </c>
      <c r="M8" s="4">
        <f t="shared" si="1"/>
        <v>-646.84178414404801</v>
      </c>
      <c r="N8" s="4">
        <f t="shared" si="1"/>
        <v>-690.80214762676405</v>
      </c>
      <c r="O8" s="4">
        <f t="shared" si="1"/>
        <v>-602.25539703937193</v>
      </c>
    </row>
    <row r="9" spans="1:15" ht="16" hidden="1" customHeight="1" x14ac:dyDescent="0.2">
      <c r="A9" s="1"/>
      <c r="B9" t="s">
        <v>24</v>
      </c>
      <c r="C9" t="s">
        <v>14</v>
      </c>
      <c r="D9" s="3">
        <v>102296759977.052</v>
      </c>
      <c r="E9" s="3">
        <v>99846907417.429398</v>
      </c>
      <c r="F9" s="3">
        <v>104728351638.86</v>
      </c>
      <c r="G9" s="3">
        <v>53608349418.449501</v>
      </c>
      <c r="H9" s="3">
        <v>51367418395.432404</v>
      </c>
      <c r="I9" s="3">
        <v>56100865402.382896</v>
      </c>
      <c r="J9" s="3">
        <v>-55478645805.161903</v>
      </c>
      <c r="K9" s="3">
        <v>-57716762707.871399</v>
      </c>
      <c r="L9" s="3">
        <v>-53154925535.506302</v>
      </c>
      <c r="M9" s="3">
        <v>-101756427095.522</v>
      </c>
      <c r="N9" s="3">
        <v>-104023256203.815</v>
      </c>
      <c r="O9" s="3">
        <v>-99546376575.460098</v>
      </c>
    </row>
    <row r="10" spans="1:15" x14ac:dyDescent="0.2">
      <c r="A10" s="1"/>
      <c r="B10" t="s">
        <v>24</v>
      </c>
      <c r="C10" t="s">
        <v>37</v>
      </c>
      <c r="D10" s="4">
        <f>D9/1000000000</f>
        <v>102.29675997705201</v>
      </c>
      <c r="E10" s="4">
        <f t="shared" ref="E10:O10" si="2">E9/1000000000</f>
        <v>99.846907417429392</v>
      </c>
      <c r="F10" s="4">
        <f t="shared" si="2"/>
        <v>104.72835163886</v>
      </c>
      <c r="G10" s="4">
        <f t="shared" si="2"/>
        <v>53.6083494184495</v>
      </c>
      <c r="H10" s="4">
        <f t="shared" si="2"/>
        <v>51.367418395432402</v>
      </c>
      <c r="I10" s="4">
        <f t="shared" si="2"/>
        <v>56.100865402382894</v>
      </c>
      <c r="J10" s="4">
        <f t="shared" si="2"/>
        <v>-55.478645805161904</v>
      </c>
      <c r="K10" s="4">
        <f t="shared" si="2"/>
        <v>-57.716762707871396</v>
      </c>
      <c r="L10" s="4">
        <f t="shared" si="2"/>
        <v>-53.154925535506301</v>
      </c>
      <c r="M10" s="4">
        <f t="shared" si="2"/>
        <v>-101.756427095522</v>
      </c>
      <c r="N10" s="4">
        <f t="shared" si="2"/>
        <v>-104.02325620381501</v>
      </c>
      <c r="O10" s="4">
        <f t="shared" si="2"/>
        <v>-99.546376575460101</v>
      </c>
    </row>
    <row r="11" spans="1:15" ht="16" hidden="1" customHeight="1" x14ac:dyDescent="0.2">
      <c r="A11" s="1"/>
      <c r="B11" t="s">
        <v>25</v>
      </c>
      <c r="C11" t="s">
        <v>17</v>
      </c>
      <c r="D11" s="3">
        <v>3677983338.06283</v>
      </c>
      <c r="E11" s="3">
        <v>3142749503.8231301</v>
      </c>
      <c r="F11" s="3">
        <v>4155421798.75806</v>
      </c>
      <c r="G11" s="3">
        <v>2459691904.7241402</v>
      </c>
      <c r="H11" s="3">
        <v>1945210743.53984</v>
      </c>
      <c r="I11" s="3">
        <v>2956850787.3058901</v>
      </c>
      <c r="J11" s="3">
        <v>-17212468633.253502</v>
      </c>
      <c r="K11" s="3">
        <v>-17699416641.168999</v>
      </c>
      <c r="L11" s="3">
        <v>-16715622590.351</v>
      </c>
      <c r="M11" s="3">
        <v>-25965819604.725899</v>
      </c>
      <c r="N11" s="3">
        <v>-26458113142.0005</v>
      </c>
      <c r="O11" s="3">
        <v>-25481421687.680302</v>
      </c>
    </row>
    <row r="12" spans="1:15" x14ac:dyDescent="0.2">
      <c r="A12" s="1"/>
      <c r="B12" t="s">
        <v>25</v>
      </c>
      <c r="C12" t="s">
        <v>46</v>
      </c>
      <c r="D12" s="4">
        <f>D11/1000000000</f>
        <v>3.67798333806283</v>
      </c>
      <c r="E12" s="4">
        <f t="shared" ref="E12:O12" si="3">E11/1000000000</f>
        <v>3.1427495038231301</v>
      </c>
      <c r="F12" s="4">
        <f t="shared" si="3"/>
        <v>4.1554217987580602</v>
      </c>
      <c r="G12" s="4">
        <f t="shared" si="3"/>
        <v>2.4596919047241403</v>
      </c>
      <c r="H12" s="4">
        <f t="shared" si="3"/>
        <v>1.94521074353984</v>
      </c>
      <c r="I12" s="4">
        <f t="shared" si="3"/>
        <v>2.95685078730589</v>
      </c>
      <c r="J12" s="4">
        <f t="shared" si="3"/>
        <v>-17.212468633253501</v>
      </c>
      <c r="K12" s="4">
        <f t="shared" si="3"/>
        <v>-17.699416641168998</v>
      </c>
      <c r="L12" s="4">
        <f t="shared" si="3"/>
        <v>-16.715622590351</v>
      </c>
      <c r="M12" s="4">
        <f t="shared" si="3"/>
        <v>-25.965819604725898</v>
      </c>
      <c r="N12" s="4">
        <f t="shared" si="3"/>
        <v>-26.458113142000499</v>
      </c>
      <c r="O12" s="4">
        <f t="shared" si="3"/>
        <v>-25.481421687680303</v>
      </c>
    </row>
    <row r="13" spans="1:15" hidden="1" x14ac:dyDescent="0.2">
      <c r="A13" s="1"/>
      <c r="B13" t="s">
        <v>26</v>
      </c>
      <c r="C13" t="s">
        <v>18</v>
      </c>
      <c r="D13" s="3">
        <v>8012193490421.5</v>
      </c>
      <c r="E13" s="3">
        <v>7751571675601.4502</v>
      </c>
      <c r="F13" s="3">
        <v>8279081144740.6602</v>
      </c>
      <c r="G13" s="3">
        <v>6106532238604.5703</v>
      </c>
      <c r="H13" s="3">
        <v>5838840981576.8604</v>
      </c>
      <c r="I13" s="3">
        <v>6371353658306.8701</v>
      </c>
      <c r="J13" s="3">
        <v>3035361255714.54</v>
      </c>
      <c r="K13" s="3">
        <v>2764535911684.0098</v>
      </c>
      <c r="L13" s="3">
        <v>3296685157564.5801</v>
      </c>
      <c r="M13" s="3">
        <v>859531064226.90198</v>
      </c>
      <c r="N13" s="3">
        <v>594902246026.49902</v>
      </c>
      <c r="O13" s="3">
        <v>1118619059368.45</v>
      </c>
    </row>
    <row r="14" spans="1:15" x14ac:dyDescent="0.2">
      <c r="A14" s="1"/>
      <c r="B14" t="s">
        <v>26</v>
      </c>
      <c r="C14" t="s">
        <v>39</v>
      </c>
      <c r="D14" s="5">
        <f>D13/1000000000</f>
        <v>8012.1934904215004</v>
      </c>
      <c r="E14" s="5">
        <f t="shared" ref="E14:O14" si="4">E13/1000000000</f>
        <v>7751.5716756014499</v>
      </c>
      <c r="F14" s="5">
        <f t="shared" si="4"/>
        <v>8279.0811447406595</v>
      </c>
      <c r="G14" s="5">
        <f t="shared" si="4"/>
        <v>6106.53223860457</v>
      </c>
      <c r="H14" s="5">
        <f t="shared" si="4"/>
        <v>5838.84098157686</v>
      </c>
      <c r="I14" s="5">
        <f t="shared" si="4"/>
        <v>6371.3536583068699</v>
      </c>
      <c r="J14" s="5">
        <f t="shared" si="4"/>
        <v>3035.3612557145402</v>
      </c>
      <c r="K14" s="5">
        <f t="shared" si="4"/>
        <v>2764.53591168401</v>
      </c>
      <c r="L14" s="5">
        <f t="shared" si="4"/>
        <v>3296.6851575645801</v>
      </c>
      <c r="M14" s="5">
        <f t="shared" si="4"/>
        <v>859.531064226902</v>
      </c>
      <c r="N14" s="5">
        <f t="shared" si="4"/>
        <v>594.90224602649903</v>
      </c>
      <c r="O14" s="5">
        <f t="shared" si="4"/>
        <v>1118.6190593684501</v>
      </c>
    </row>
    <row r="15" spans="1:15" hidden="1" x14ac:dyDescent="0.2">
      <c r="A15" s="1" t="s">
        <v>10</v>
      </c>
      <c r="B15" t="s">
        <v>27</v>
      </c>
      <c r="C15" t="s">
        <v>19</v>
      </c>
      <c r="D15" s="3">
        <v>1896422444.32445</v>
      </c>
      <c r="E15" s="3">
        <v>1842691441.49473</v>
      </c>
      <c r="F15" s="3">
        <v>1948481242.8037901</v>
      </c>
      <c r="G15" s="3">
        <v>1223180026.3201699</v>
      </c>
      <c r="H15" s="3">
        <v>1172880150.9997301</v>
      </c>
      <c r="I15" s="3">
        <v>1275160479.3029599</v>
      </c>
      <c r="J15" s="3">
        <v>-554582326.80254602</v>
      </c>
      <c r="K15" s="3">
        <v>-606307886.610093</v>
      </c>
      <c r="L15" s="3">
        <v>-501398615.71124297</v>
      </c>
      <c r="M15" s="3">
        <v>-292508522.69620198</v>
      </c>
      <c r="N15" s="3">
        <v>-344259486.186575</v>
      </c>
      <c r="O15" s="3">
        <v>-242971512.45867801</v>
      </c>
    </row>
    <row r="16" spans="1:15" x14ac:dyDescent="0.2">
      <c r="A16" s="1"/>
      <c r="B16" t="s">
        <v>27</v>
      </c>
      <c r="C16" t="s">
        <v>40</v>
      </c>
      <c r="D16" s="4">
        <f>D15/1000000000</f>
        <v>1.89642244432445</v>
      </c>
      <c r="E16" s="4">
        <f t="shared" ref="E16:O16" si="5">E15/1000000000</f>
        <v>1.84269144149473</v>
      </c>
      <c r="F16" s="4">
        <f t="shared" si="5"/>
        <v>1.9484812428037901</v>
      </c>
      <c r="G16" s="4">
        <f t="shared" si="5"/>
        <v>1.22318002632017</v>
      </c>
      <c r="H16" s="4">
        <f t="shared" si="5"/>
        <v>1.1728801509997302</v>
      </c>
      <c r="I16" s="4">
        <f t="shared" si="5"/>
        <v>1.2751604793029598</v>
      </c>
      <c r="J16" s="4">
        <f t="shared" si="5"/>
        <v>-0.55458232680254604</v>
      </c>
      <c r="K16" s="4">
        <f t="shared" si="5"/>
        <v>-0.60630788661009305</v>
      </c>
      <c r="L16" s="4">
        <f t="shared" si="5"/>
        <v>-0.501398615711243</v>
      </c>
      <c r="M16" s="4">
        <f t="shared" si="5"/>
        <v>-0.29250852269620198</v>
      </c>
      <c r="N16" s="4">
        <f t="shared" si="5"/>
        <v>-0.34425948618657498</v>
      </c>
      <c r="O16" s="4">
        <f t="shared" si="5"/>
        <v>-0.24297151245867801</v>
      </c>
    </row>
  </sheetData>
  <mergeCells count="5">
    <mergeCell ref="A3:A4"/>
    <mergeCell ref="A5:A6"/>
    <mergeCell ref="A7:A14"/>
    <mergeCell ref="A15:A16"/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zoomScale="167" workbookViewId="0">
      <selection activeCell="C19" sqref="C19"/>
    </sheetView>
  </sheetViews>
  <sheetFormatPr baseColWidth="10" defaultRowHeight="16" x14ac:dyDescent="0.2"/>
  <cols>
    <col min="1" max="1" width="13.1640625" customWidth="1"/>
    <col min="2" max="2" width="23.33203125" bestFit="1" customWidth="1"/>
    <col min="3" max="3" width="19.83203125" bestFit="1" customWidth="1"/>
    <col min="4" max="4" width="21.83203125" bestFit="1" customWidth="1"/>
    <col min="5" max="7" width="10.83203125" hidden="1" customWidth="1"/>
    <col min="8" max="8" width="21.83203125" bestFit="1" customWidth="1"/>
    <col min="9" max="11" width="10.83203125" hidden="1" customWidth="1"/>
    <col min="12" max="12" width="21.83203125" bestFit="1" customWidth="1"/>
    <col min="13" max="15" width="0" hidden="1" customWidth="1"/>
    <col min="16" max="16" width="20.1640625" bestFit="1" customWidth="1"/>
    <col min="17" max="19" width="0" hidden="1" customWidth="1"/>
  </cols>
  <sheetData>
    <row r="1" spans="1:19" x14ac:dyDescent="0.2">
      <c r="A1" s="11"/>
      <c r="B1" s="11"/>
      <c r="C1" s="11"/>
      <c r="D1" s="12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2">
      <c r="A2" s="13" t="s">
        <v>5</v>
      </c>
      <c r="B2" s="13" t="s">
        <v>6</v>
      </c>
      <c r="C2" s="13" t="s">
        <v>11</v>
      </c>
      <c r="D2" s="14" t="s">
        <v>0</v>
      </c>
      <c r="E2" s="14" t="s">
        <v>41</v>
      </c>
      <c r="F2" s="14" t="s">
        <v>28</v>
      </c>
      <c r="G2" s="14" t="s">
        <v>29</v>
      </c>
      <c r="H2" s="14" t="s">
        <v>1</v>
      </c>
      <c r="I2" s="14" t="s">
        <v>42</v>
      </c>
      <c r="J2" s="14" t="s">
        <v>30</v>
      </c>
      <c r="K2" s="14" t="s">
        <v>31</v>
      </c>
      <c r="L2" s="14" t="s">
        <v>2</v>
      </c>
      <c r="M2" s="14" t="s">
        <v>43</v>
      </c>
      <c r="N2" s="14" t="s">
        <v>32</v>
      </c>
      <c r="O2" s="14" t="s">
        <v>33</v>
      </c>
      <c r="P2" s="14" t="s">
        <v>3</v>
      </c>
      <c r="Q2" s="15" t="s">
        <v>44</v>
      </c>
      <c r="R2" s="15" t="s">
        <v>34</v>
      </c>
      <c r="S2" s="15" t="s">
        <v>35</v>
      </c>
    </row>
    <row r="3" spans="1:19" x14ac:dyDescent="0.2">
      <c r="A3" s="16"/>
      <c r="B3" s="16"/>
      <c r="C3" s="16"/>
      <c r="D3" s="17" t="s">
        <v>45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5"/>
      <c r="R3" s="15"/>
      <c r="S3" s="15"/>
    </row>
    <row r="4" spans="1:19" x14ac:dyDescent="0.2">
      <c r="A4" s="8" t="s">
        <v>7</v>
      </c>
      <c r="B4" s="11" t="s">
        <v>20</v>
      </c>
      <c r="C4" s="11" t="s">
        <v>12</v>
      </c>
      <c r="D4" s="18" t="str">
        <f>ROUND(E4, 0)&amp; " (" &amp;ROUND(F4, 0)&amp; ", " &amp;ROUND(G4, 0)&amp; ")"</f>
        <v>5443 (4736, 6187)</v>
      </c>
      <c r="E4" s="19">
        <v>5442.5416233756496</v>
      </c>
      <c r="F4" s="19">
        <v>4736.2798213113601</v>
      </c>
      <c r="G4" s="19">
        <v>6186.9955466404599</v>
      </c>
      <c r="H4" s="19" t="str">
        <f>ROUND(I4, 0)&amp; " (" &amp;ROUND(J4, 0)&amp; ", " &amp;ROUND(K4, 0)&amp; ")"</f>
        <v>5828 (5135, 6558)</v>
      </c>
      <c r="I4" s="19">
        <v>5828.0075684409103</v>
      </c>
      <c r="J4" s="19">
        <v>5134.77879241766</v>
      </c>
      <c r="K4" s="19">
        <v>6558.0413427224403</v>
      </c>
      <c r="L4" s="19" t="str">
        <f>ROUND(M4, 0)&amp; " (" &amp;ROUND(N4, 0)&amp; ", " &amp;ROUND(O4, 0)&amp; ")"</f>
        <v>8651 (7649, 9698)</v>
      </c>
      <c r="M4" s="19">
        <v>8650.9039190692201</v>
      </c>
      <c r="N4" s="19">
        <v>7649.2961010199497</v>
      </c>
      <c r="O4" s="19">
        <v>9698.0609847112501</v>
      </c>
      <c r="P4" s="19" t="str">
        <f>ROUND(Q4, 0)&amp; " (" &amp;ROUND(R4, 0)&amp; ", " &amp;ROUND(S4, 0)&amp; ")"</f>
        <v>7575 (6655, 8547)</v>
      </c>
      <c r="Q4" s="20">
        <v>7574.9151452329797</v>
      </c>
      <c r="R4" s="20">
        <v>6654.5818162413498</v>
      </c>
      <c r="S4" s="20">
        <v>8547.0577562298095</v>
      </c>
    </row>
    <row r="5" spans="1:19" x14ac:dyDescent="0.2">
      <c r="A5" s="8"/>
      <c r="B5" s="21" t="s">
        <v>21</v>
      </c>
      <c r="C5" s="21" t="s">
        <v>13</v>
      </c>
      <c r="D5" s="22" t="str">
        <f>ROUND(E5, 0)&amp; " (" &amp;ROUND(F5, 0)&amp; ", " &amp;ROUND(G5, 0)&amp; ")"</f>
        <v>23568 (20485, 26914)</v>
      </c>
      <c r="E5" s="23">
        <v>23568.030313747699</v>
      </c>
      <c r="F5" s="23">
        <v>20485.120938627999</v>
      </c>
      <c r="G5" s="23">
        <v>26913.746313880401</v>
      </c>
      <c r="H5" s="23" t="str">
        <f t="shared" ref="H5" si="0">ROUND(I5, 0)&amp; " (" &amp;ROUND(J5, 0)&amp; ", " &amp;ROUND(K5, 0)&amp; ")"</f>
        <v>20992 (18149, 24067)</v>
      </c>
      <c r="I5" s="23">
        <v>20992.331621043599</v>
      </c>
      <c r="J5" s="23">
        <v>18148.504802196101</v>
      </c>
      <c r="K5" s="23">
        <v>24067.342284585899</v>
      </c>
      <c r="L5" s="23" t="str">
        <f t="shared" ref="L5" si="1">ROUND(M5, 0)&amp; " (" &amp;ROUND(N5, 0)&amp; ", " &amp;ROUND(O5, 0)&amp; ")"</f>
        <v>34413 (30368, 38564)</v>
      </c>
      <c r="M5" s="23">
        <v>34412.999195613498</v>
      </c>
      <c r="N5" s="23">
        <v>30367.719103956599</v>
      </c>
      <c r="O5" s="23">
        <v>38564.192133136501</v>
      </c>
      <c r="P5" s="23" t="str">
        <f t="shared" ref="P5" si="2">ROUND(Q5, 0)&amp; " (" &amp;ROUND(R5, 0)&amp; ", " &amp;ROUND(S5, 0)&amp; ")"</f>
        <v>34413 (30368, 38564)</v>
      </c>
      <c r="Q5" s="20">
        <v>34412.993210762099</v>
      </c>
      <c r="R5" s="20">
        <v>30367.7173106519</v>
      </c>
      <c r="S5" s="20">
        <v>38564.189389634703</v>
      </c>
    </row>
    <row r="6" spans="1:19" x14ac:dyDescent="0.2">
      <c r="A6" s="9" t="s">
        <v>8</v>
      </c>
      <c r="B6" s="11" t="s">
        <v>22</v>
      </c>
      <c r="C6" s="11" t="s">
        <v>36</v>
      </c>
      <c r="D6" s="18" t="str">
        <f>ROUND(E6, 1)&amp; " (" &amp;ROUND(F6, 1)&amp; ", " &amp;ROUND(G6, 1)&amp; ")"</f>
        <v>42.1 (40.3, 43.9)</v>
      </c>
      <c r="E6" s="24">
        <v>42.075052917080299</v>
      </c>
      <c r="F6" s="24">
        <v>40.3203986756874</v>
      </c>
      <c r="G6" s="24">
        <v>43.861982388976699</v>
      </c>
      <c r="H6" s="19" t="str">
        <f>ROUND(I6, 1)&amp; " (" &amp;ROUND(J6, 1)&amp; ", " &amp;ROUND(K6, 1)&amp; ")"</f>
        <v>17 (15.4, 18.8)</v>
      </c>
      <c r="I6" s="24">
        <v>17.027125936753901</v>
      </c>
      <c r="J6" s="24">
        <v>15.377856331757799</v>
      </c>
      <c r="K6" s="24">
        <v>18.8197589501458</v>
      </c>
      <c r="L6" s="19" t="str">
        <f>ROUND(M6, 1)&amp; " (" &amp;ROUND(N6, 1)&amp; ", " &amp;ROUND(O6, 1)&amp; ")"</f>
        <v>-41.4 (-43, -39.7)</v>
      </c>
      <c r="M6" s="24">
        <v>-41.399503241829301</v>
      </c>
      <c r="N6" s="24">
        <v>-43.026403862048696</v>
      </c>
      <c r="O6" s="24">
        <v>-39.703045142375295</v>
      </c>
      <c r="P6" s="19" t="str">
        <f>ROUND(Q6, 1)&amp; " (" &amp;ROUND(R6, 1)&amp; ", " &amp;ROUND(S6, 1)&amp; ")"</f>
        <v>-59.3 (-60.9, -57.7)</v>
      </c>
      <c r="Q6" s="25">
        <v>-59.280480307638499</v>
      </c>
      <c r="R6" s="25">
        <v>-60.926529179139003</v>
      </c>
      <c r="S6" s="25">
        <v>-57.661291389057702</v>
      </c>
    </row>
    <row r="7" spans="1:19" x14ac:dyDescent="0.2">
      <c r="A7" s="8" t="s">
        <v>9</v>
      </c>
      <c r="B7" s="21" t="s">
        <v>23</v>
      </c>
      <c r="C7" s="21" t="s">
        <v>38</v>
      </c>
      <c r="D7" s="22" t="str">
        <f t="shared" ref="D7:D11" si="3">ROUND(E7, 1)&amp; " (" &amp;ROUND(F7, 1)&amp; ", " &amp;ROUND(G7, 1)&amp; ")"</f>
        <v>810.2 (767.2, 854.9)</v>
      </c>
      <c r="E7" s="26">
        <v>810.15556608121597</v>
      </c>
      <c r="F7" s="26">
        <v>767.175878717106</v>
      </c>
      <c r="G7" s="26">
        <v>854.87506605956003</v>
      </c>
      <c r="H7" s="23" t="str">
        <f t="shared" ref="H7:H11" si="4">ROUND(I7, 1)&amp; " (" &amp;ROUND(J7, 1)&amp; ", " &amp;ROUND(K7, 1)&amp; ")"</f>
        <v>652.9 (605.1, 694.7)</v>
      </c>
      <c r="I7" s="26">
        <v>652.88768506081101</v>
      </c>
      <c r="J7" s="26">
        <v>605.14131353769892</v>
      </c>
      <c r="K7" s="26">
        <v>694.70652746911696</v>
      </c>
      <c r="L7" s="23" t="str">
        <f t="shared" ref="L7:L11" si="5">ROUND(M7, 1)&amp; " (" &amp;ROUND(N7, 1)&amp; ", " &amp;ROUND(O7, 1)&amp; ")"</f>
        <v>-85 (-129, -40.6)</v>
      </c>
      <c r="M7" s="26">
        <v>-84.966124409579194</v>
      </c>
      <c r="N7" s="26">
        <v>-129.00077213365199</v>
      </c>
      <c r="O7" s="26">
        <v>-40.561384492169701</v>
      </c>
      <c r="P7" s="23" t="str">
        <f t="shared" ref="P7:P11" si="6">ROUND(Q7, 1)&amp; " (" &amp;ROUND(R7, 1)&amp; ", " &amp;ROUND(S7, 1)&amp; ")"</f>
        <v>-646.8 (-690.8, -602.3)</v>
      </c>
      <c r="Q7" s="25">
        <v>-646.84178414404801</v>
      </c>
      <c r="R7" s="25">
        <v>-690.80214762676405</v>
      </c>
      <c r="S7" s="25">
        <v>-602.25539703937193</v>
      </c>
    </row>
    <row r="8" spans="1:19" x14ac:dyDescent="0.2">
      <c r="A8" s="8"/>
      <c r="B8" s="11" t="s">
        <v>24</v>
      </c>
      <c r="C8" s="11" t="s">
        <v>37</v>
      </c>
      <c r="D8" s="18" t="str">
        <f t="shared" si="3"/>
        <v>102.3 (99.8, 104.7)</v>
      </c>
      <c r="E8" s="24">
        <v>102.29675997705201</v>
      </c>
      <c r="F8" s="24">
        <v>99.846907417429392</v>
      </c>
      <c r="G8" s="24">
        <v>104.72835163886</v>
      </c>
      <c r="H8" s="19" t="str">
        <f t="shared" si="4"/>
        <v>53.6 (51.4, 56.1)</v>
      </c>
      <c r="I8" s="24">
        <v>53.6083494184495</v>
      </c>
      <c r="J8" s="24">
        <v>51.367418395432402</v>
      </c>
      <c r="K8" s="24">
        <v>56.100865402382894</v>
      </c>
      <c r="L8" s="19" t="str">
        <f t="shared" si="5"/>
        <v>-55.5 (-57.7, -53.2)</v>
      </c>
      <c r="M8" s="24">
        <v>-55.478645805161904</v>
      </c>
      <c r="N8" s="24">
        <v>-57.716762707871396</v>
      </c>
      <c r="O8" s="24">
        <v>-53.154925535506301</v>
      </c>
      <c r="P8" s="19" t="str">
        <f t="shared" si="6"/>
        <v>-101.8 (-104, -99.5)</v>
      </c>
      <c r="Q8" s="25">
        <v>-101.756427095522</v>
      </c>
      <c r="R8" s="25">
        <v>-104.02325620381501</v>
      </c>
      <c r="S8" s="25">
        <v>-99.546376575460101</v>
      </c>
    </row>
    <row r="9" spans="1:19" x14ac:dyDescent="0.2">
      <c r="A9" s="8"/>
      <c r="B9" s="21" t="s">
        <v>25</v>
      </c>
      <c r="C9" s="21" t="s">
        <v>46</v>
      </c>
      <c r="D9" s="22" t="str">
        <f t="shared" si="3"/>
        <v>3.7 (3.1, 4.2)</v>
      </c>
      <c r="E9" s="26">
        <v>3.67798333806283</v>
      </c>
      <c r="F9" s="26">
        <v>3.1427495038231301</v>
      </c>
      <c r="G9" s="26">
        <v>4.1554217987580602</v>
      </c>
      <c r="H9" s="23" t="str">
        <f t="shared" si="4"/>
        <v>2.5 (1.9, 3)</v>
      </c>
      <c r="I9" s="26">
        <v>2.4596919047241403</v>
      </c>
      <c r="J9" s="26">
        <v>1.94521074353984</v>
      </c>
      <c r="K9" s="26">
        <v>2.95685078730589</v>
      </c>
      <c r="L9" s="23" t="str">
        <f t="shared" si="5"/>
        <v>-17.2 (-17.7, -16.7)</v>
      </c>
      <c r="M9" s="26">
        <v>-17.212468633253501</v>
      </c>
      <c r="N9" s="26">
        <v>-17.699416641168998</v>
      </c>
      <c r="O9" s="26">
        <v>-16.715622590351</v>
      </c>
      <c r="P9" s="23" t="str">
        <f t="shared" si="6"/>
        <v>-26 (-26.5, -25.5)</v>
      </c>
      <c r="Q9" s="25">
        <v>-25.965819604725898</v>
      </c>
      <c r="R9" s="25">
        <v>-26.458113142000499</v>
      </c>
      <c r="S9" s="25">
        <v>-25.481421687680303</v>
      </c>
    </row>
    <row r="10" spans="1:19" x14ac:dyDescent="0.2">
      <c r="A10" s="8"/>
      <c r="B10" s="11" t="s">
        <v>26</v>
      </c>
      <c r="C10" s="11" t="s">
        <v>39</v>
      </c>
      <c r="D10" s="18" t="str">
        <f t="shared" si="3"/>
        <v>8012.2 (7751.6, 8279.1)</v>
      </c>
      <c r="E10" s="27">
        <v>8012.1934904215004</v>
      </c>
      <c r="F10" s="27">
        <v>7751.5716756014499</v>
      </c>
      <c r="G10" s="27">
        <v>8279.0811447406595</v>
      </c>
      <c r="H10" s="19" t="str">
        <f t="shared" si="4"/>
        <v>6106.5 (5838.8, 6371.4)</v>
      </c>
      <c r="I10" s="27">
        <v>6106.53223860457</v>
      </c>
      <c r="J10" s="27">
        <v>5838.84098157686</v>
      </c>
      <c r="K10" s="27">
        <v>6371.3536583068699</v>
      </c>
      <c r="L10" s="19" t="str">
        <f t="shared" si="5"/>
        <v>3035.4 (2764.5, 3296.7)</v>
      </c>
      <c r="M10" s="27">
        <v>3035.3612557145402</v>
      </c>
      <c r="N10" s="27">
        <v>2764.53591168401</v>
      </c>
      <c r="O10" s="27">
        <v>3296.6851575645801</v>
      </c>
      <c r="P10" s="19" t="str">
        <f t="shared" si="6"/>
        <v>859.5 (594.9, 1118.6)</v>
      </c>
      <c r="Q10" s="28">
        <v>859.531064226902</v>
      </c>
      <c r="R10" s="28">
        <v>594.90224602649903</v>
      </c>
      <c r="S10" s="28">
        <v>1118.6190593684501</v>
      </c>
    </row>
    <row r="11" spans="1:19" x14ac:dyDescent="0.2">
      <c r="A11" s="10" t="s">
        <v>10</v>
      </c>
      <c r="B11" s="29" t="s">
        <v>27</v>
      </c>
      <c r="C11" s="29" t="s">
        <v>40</v>
      </c>
      <c r="D11" s="30" t="str">
        <f t="shared" si="3"/>
        <v>1.9 (1.8, 1.9)</v>
      </c>
      <c r="E11" s="31">
        <v>1.89642244432445</v>
      </c>
      <c r="F11" s="31">
        <v>1.84269144149473</v>
      </c>
      <c r="G11" s="31">
        <v>1.9484812428037901</v>
      </c>
      <c r="H11" s="32" t="str">
        <f t="shared" si="4"/>
        <v>1.2 (1.2, 1.3)</v>
      </c>
      <c r="I11" s="31">
        <v>1.22318002632017</v>
      </c>
      <c r="J11" s="31">
        <v>1.1728801509997302</v>
      </c>
      <c r="K11" s="31">
        <v>1.2751604793029598</v>
      </c>
      <c r="L11" s="32" t="str">
        <f t="shared" si="5"/>
        <v>-0.6 (-0.6, -0.5)</v>
      </c>
      <c r="M11" s="31">
        <v>-0.55458232680254604</v>
      </c>
      <c r="N11" s="31">
        <v>-0.60630788661009305</v>
      </c>
      <c r="O11" s="31">
        <v>-0.501398615711243</v>
      </c>
      <c r="P11" s="32" t="str">
        <f t="shared" si="6"/>
        <v>-0.3 (-0.3, -0.2)</v>
      </c>
      <c r="Q11" s="25">
        <v>-0.29250852269620198</v>
      </c>
      <c r="R11" s="25">
        <v>-0.34425948618657498</v>
      </c>
      <c r="S11" s="25">
        <v>-0.24297151245867801</v>
      </c>
    </row>
  </sheetData>
  <mergeCells count="4">
    <mergeCell ref="A4:A5"/>
    <mergeCell ref="A7:A10"/>
    <mergeCell ref="D3:P3"/>
    <mergeCell ref="D1:S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Table- Absolute change (10% shi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 Marie</dc:creator>
  <cp:lastModifiedBy>Bell, Brooke Marie</cp:lastModifiedBy>
  <dcterms:created xsi:type="dcterms:W3CDTF">2024-04-26T18:13:21Z</dcterms:created>
  <dcterms:modified xsi:type="dcterms:W3CDTF">2024-04-26T19:21:57Z</dcterms:modified>
</cp:coreProperties>
</file>